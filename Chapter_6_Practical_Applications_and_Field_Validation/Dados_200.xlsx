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f004df98961971b/01.Projetos/Tese/2026/Empirical_ANN - MatLab/"/>
    </mc:Choice>
  </mc:AlternateContent>
  <xr:revisionPtr revIDLastSave="70" documentId="13_ncr:1_{764C07A5-2D1C-4CF6-B090-3AB85F2B7EBD}" xr6:coauthVersionLast="47" xr6:coauthVersionMax="47" xr10:uidLastSave="{3B1154BB-4F61-492A-ACE3-F8328637B329}"/>
  <bookViews>
    <workbookView xWindow="-108" yWindow="-108" windowWidth="23256" windowHeight="12456" xr2:uid="{45D4D467-093F-418B-BDFA-09A147F53986}"/>
  </bookViews>
  <sheets>
    <sheet name="Data" sheetId="5" r:id="rId1"/>
    <sheet name="FIG.5" sheetId="6" r:id="rId2"/>
    <sheet name="CB_DATA_" sheetId="4" state="veryHidden" r:id="rId3"/>
  </sheets>
  <definedNames>
    <definedName name="CB_99cd981f19c74ccb93f9a4bdd461b494" localSheetId="2" hidden="1">#N/A</definedName>
    <definedName name="CB_Block_00000000000000000000000000000000" localSheetId="2" hidden="1">"'7.0.0.0"</definedName>
    <definedName name="CB_Block_00000000000000000000000000000001" localSheetId="2" hidden="1">"'638740045985845678"</definedName>
    <definedName name="CB_Block_00000000000000000000000000000003" localSheetId="2" hidden="1">"'11.1.5072.0"</definedName>
    <definedName name="CB_BlockExt_00000000000000000000000000000003" localSheetId="2" hidden="1">"'11.1.3.0.000"</definedName>
    <definedName name="CBWorkbookPriority" localSheetId="2" hidden="1">-3244097466971220</definedName>
    <definedName name="CBx_448ba1633f8342d482a66f4faf25538c" localSheetId="2" hidden="1">"'grafico de regressão linear'!$A$1"</definedName>
    <definedName name="CBx_de02f21a95ea437592c7ae5a382e6abd" localSheetId="2" hidden="1">"'CB_DATA_'!$A$1"</definedName>
    <definedName name="CBx_Sheet_Guid" localSheetId="2" hidden="1">"'de02f21a-95ea-4375-92c7-ae5a382e6abd"</definedName>
    <definedName name="CBx_SheetRef" localSheetId="2" hidden="1">CB_DATA_!$A$14</definedName>
    <definedName name="CBx_StorageType" localSheetId="2"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6" l="1"/>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3" i="6"/>
  <c r="E2" i="6"/>
  <c r="B11" i="4"/>
  <c r="A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0F7A87-7F7E-4BB6-8730-7754BC38F605}" keepAlive="1" name="Consulta - Table009 (Page 7-10)" description="Conexão com a consulta 'Table009 (Page 7-10)' na pasta de trabalho." type="5" refreshedVersion="8" background="1" saveData="1">
    <dbPr connection="Provider=Microsoft.Mashup.OleDb.1;Data Source=$Workbook$;Location=&quot;Table009 (Page 7-10)&quot;;Extended Properties=&quot;&quot;" command="SELECT * FROM [Table009 (Page 7-10)]"/>
  </connection>
</connections>
</file>

<file path=xl/sharedStrings.xml><?xml version="1.0" encoding="utf-8"?>
<sst xmlns="http://schemas.openxmlformats.org/spreadsheetml/2006/main" count="35" uniqueCount="29">
  <si>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</si>
  <si>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</si>
  <si>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</si>
  <si>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</si>
  <si>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</si>
  <si>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</si>
  <si>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</si>
  <si>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</si>
  <si>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</si>
  <si>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</si>
  <si>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</si>
  <si>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</si>
  <si>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de02f21a-95ea-4375-92c7-ae5a382e6abd</t>
  </si>
  <si>
    <t>CB_Block_0</t>
  </si>
  <si>
    <t>㜸〱敤㕣㕢㙣ㅣ㔷ㄹ摥㌳摥㕤敦慣敤搸㡤搳㑢㑡㘹つ愵戴搴挱㡤搳㠶㔲㈰〴㕦㥡㑢敢挴㙥散愴㕣戵ㄹ敦㥥㠹愷搹㤹㜱㘷㘶㥤戸㔴㙡〵〵㡡愰㈰㜱ㄳ愵攵愲㠲㤰㜸攱㈲愴搲㜲㜹㐰㈰㠱㔰㤱㜸㠰〷㈴ㅥち㐲昰〰㐲㤱㜸㐱〲〹扥敦捣捣敥捣慥㜷散㙥㕢㜰㤱㑦扡扦捦㥣摢㥣㜳晥敢昹晦㌳捤㠹㕣㉥昷㙦㈴晥㘵捡㌳㜳捤攲扡ㅦ㐸㝢㘲挶慤搷㘵㌵戰㕣挷㥦㤸昲㍣㘳㝤捥昲㠳㍥㌴㈸㔶㉣搴晢㠵㡡㙦㍤㈰㑢㤵㌵改昹㘸㔴挸攵㑡㈵㕤㐳㍤〷攱㙦㈴㝥搰搹㙢㌰て戰㌴㌳㍤扦㝣ㅦ㐶㕤っ㕣㑦敥ㅢ㍢ㄳ昶㍤㌴㌹㌹㌱㌹㜱㜰晦敤〷㈶昶敦ㅢ㥢㘹搴㠳㠶㈷て㌹戲ㄱ㜸㐶㝤摦搸㐲㘳戹㙥㔵敦㤶敢㑢敥㜹改ㅣ㤲换晢㙦㕤㌶㙥㝢昳攴㙤〷て㥡㜷摣昱收㐱扣㍡㜷㜲㘶㝡挱㤳愶晦ㄲ㡤㔹攰㤴㙦㥢㤵㔵㡢㙢㤳搲戳㥣㜳ㄳ㌳搳昸㉦㌱㝦㍣摤㍥戱戸㈲㘵挰㔷㑢㑦㍡㔵改敢攸㌸㘰㑦昹㝥挳㕥攵收改昶ㄱ㉣戵㙡昸㐱挱㥥㤱昵扡㙥挷愳㤶散㜹散㕤摤㔸ㅦ戴ㄷ愵攳㕢㠱戵㘶〵敢㐵㝢〹〳搵㠶散搳扥㍣㘵㌸攷攴㐹挳㤶〵晢㘸挳慡攵挳㤴敢扢㌱ㅥ㈲㌹㌱戵晣㠹㈹摦㥥㔹㌱㍣㌵㈳㥦ㅢ㤳搱昶㠸㔷㑤户扤扥晢戸㥣扡㝡〳挷扣愱㝢㍢搴㥣㌱扣㘶换昱敥㉤愳挵愷㘷㜰㑢昷昶㠹㍤㑡昷㜹㐳昷㍥㙡㉢搳慤挵㐰㐴摦㙡㐷戱ㄸ扤㐸搰㑦㔰㈲㈰〲昵㌲挱〰挱㈰㠰挸晦ㅤ㕣㤲散挸㉡慤㘲㘸㤵㘵慤㔲搵㉡㌵慤㈲戵㡡愹㔵捥㘹㤵ㄵ慤㘲㘹㤵晢戴捡㜹戴㠹㔳愹扦㕦㡢搲ㄳ㡦ㅥ㝢攴挹晥攵愹敦晥攴摤㍦晡攷摤搳昳㠳扢搰攸㥥㘸㔲戳㥥㜱〱愴搶愲㘲㜰〴晦㙤捥ㄵ㘰ち昳愰㜹扢㌹㌹㔹㍢戸摦戸搵㈸㜰㔹ㄹ挸㑦ㄱ捡〸摡づ㥡昷㕡㑥捤扤愰㜰㜷捤戴攱换搶挶㡤㐷㜵搳㙥挳愹昹慦摡戸㜲㌱㌰〲㜹㜵㝢㕤㙢㤰㡥㙥㡢㘰㉢改慢昷㕤摢摥敤㡣㔱㙦挸愹㡢㔶㔸晤敡戶㙡㝢挱㜳㤷扢搷ㅥ昱攴晤捤摡㡥ㄹ㑤㐱愸慤愹戱㍢㔶ㄹ㔶㠵昳ㅡ㥢㔹㜱㝤改愸改㡤摢ぢ㔶昵扣昴ㄶ㈵㐵愲慣愹愵㕥捥慡㠸敢挷攷ㅤ㉣ㄴ摣㕡㝢㙤戲搴扣昳㘲〰㘶㤶㌵捣㜷㔵㝡挱晡㤲戱㕣㤷㔷愴㥡㠴敦㐴挵摥㔴昱ㄱ户摡昰㘷㕣㈷昰摣㝡扡㘶慡戶㘶㐰搲搴㑥戸㌵㤹捦攷㤴㔰㠰挰敤敢ㄳ㈲㜷㜳㜷㕥㔰㠸㐸愰㤸㡣㝣㔵㥡散㈶㑥㘱㜵㔸㐵㕤㤲㈶戵搷㙤㌲ㄸ攷慢㘴㑣〶〷㈶搶㐴晤挱㤷摥戴挹戰㑤捣扤扣㡤㌵㙤㌴㕡晤㥤㙢搲〹㡥ㄹ㑥慤㉥扤㑣敤㈷㌸㈳㝤ㄸ愰㜰〹〲愱敢敥㔱搵㠹㡢㘲扤㜰挱慡〵㉢挵ㄵ㘹㥤㕢〹㔰〶つ㔹㉡㜱㙢㍢㤲㝥ㄹ㡡昴摤〴愳〰攵㜲慥戸㠷㡤㡡㘵愴㕣㠱搲㈹㠳㤷㔳㠲㥣晤㔲扣㍣㘸ㅥ戱敡㠱っ㠵昲戰〹㡣㠴㕡㑤愱㙦㠸㈴敡ㄹ搵㔰㘱散㌱㘷㐰愵㠶攵〴敢㉤扥敤攰㤲㤰㠸㜶㘴挱戶㤳〵ㄴ〵㘹㜹㤰挱㙢㈰㥡㌶㘹㤰摤㌸㐱㐴㘴㠳っ捤㡥㤱搳㐴挶昶ㄹ㌲〲敤㤳㐴挸搶晢扢换〸ㄲ㝢㈷㤱戲㔳㔷㝥摣㤱㘶ㅢ搹昲愱㌴扢ㅣㅢ愷㕦㐱㜰㈵挱㔵〴㝢〱挴㥦㈰攱㈸攵㤰㑦㈷晤㔵㜸搶慦㈱㜸㌵〰攴㤳㑥㤹ㄳ㠹㉡摡㔰㕢戱㈳搹㙥〸㜶戲㌲㡡㐳㔱㐴换戸㘹㘷づ搹ち搱㤱搵戹㍤㜴㙤㕥改搸搷㜷愷捤攴㜲㐸㤱ㄹ㑤㤳㙢摤愴㘹㜲㈳搸戴㐷扤㜵ㅤ扡敡㘳〴慦〱㈸敢慦㈵㠴㜲愱挱扢㌵㡢㥥㈶攵㉢挲㉣ち㡤愱ㅥㄵ㝣㐴挸㍣〲㘴〸戹㡥攳换㡥つ㑤㜳㜰摣㝣挵摢搰晢扡昳㜷㠴昴㌶扤戹愳㜷攸㉦㝡㠱㔶昴昵㘰㉦昱扢慥㍡收〶㔴敢慦㈷戸ㄱ愰㑤挷昰昴晤㐲㍤〵捡㉣戶ㄳ㤸摢㑤慦㡢戲㜲㤷搶㔷愵搲㐰㠳收㤲攱㥤㤳〱㍣ㄸ挷㘷㘱ぢ扢㥥㈷敢㌸搴搶㔴〱捦㉦㔷愶ぢ晤㈳㥥㙢戳㝣挷㐶昶㕦ㄱ㡡㈱㥦搷晡㜲㙤㌶㜲㠶慤㤹昰㌹㈵㈸㠷㍡昸搶敥㐲㈲搱㈹㑤㕥散㤷㝤扥摣㤱㈴㍤㐸㤲㌷㘰㕢昵㥢〱㈰㈵挴㙦扡㑡㤴㝤㙣昶㐶搵㉣㙤戱搲挳㤷㜱㍡㘹昳㈱㜶挸㤱㠱搰㘱㍢つ晦㠱㍦㘴㉦㕡㜶㔳㔸っ搸ぢ搲慢挲户㘰搵㘵㌹㜴换㔲搴散挸㡡㔷㠸慣攸敢敢㌸㑦㘷昸搷ㄴ㥤戴㐹㠹㑣㙥捦慣捣㌸㡢户㠸㡡㙥㐸ち㤵っ搷㔰㔳〲㤱昲搸㜶㐷挴昴㈰㘲㙥挱挶改晢〹㈶〹づ〰ㄴ㝥〹㐹戳搵㡤㘷㌸慣㝦㡤㉥敤㑡㈵㔷㈲ㅡ㤴㡢昰戹慥挲敡㈰㕦昳㈶㠲摢〱摡捣ㅦ㍡㈰㌳〸㔱愱㍣㐱㠸㉡㡣㘱㥥戱攴〵搲挰㉥ㄳ㠱愵㤹㠶ㅦ戸㌶㈳㑢㐳收慣㝢搲つ㘶㉤㝦ㄵ㤱愸㔱㌳捡摣扢㈲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ㄶ㠰扢㡥㥥㍥摥㡡捣扤愸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摤〶搵愱㐶㐹㈸㤲捤ㅡ㈹捤戲挱ㅣ户㤳慡ㄱ㑡㜱挷摡㐶㘴戹㑤㕢晢㑥㈹昲㈲ㄴ㤳愲㤹㥣晥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摦づ㡢㉦㍣捥昴㡤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晡戶㡡攸戲攰㠱搹㠹㘳㐶㔰㕤㔹っ搶挳㡢㕢扤㤲㐴攱㠷昰㐷㙣昸㜶摡捣㜹㠷ㄷ㔱搷戸昷攵昳㡥㝢挱㔱昳㉡昸扣昵〷ち挱ㄵ捡㝥㑥戲㥣晢㌷晥愹愴攵ち㍦挰㠸㕢㤹㌶〷㘸㌹㐸㌸㡥㑡愱㌴ㄸ㐳㍥㠳㑥㘰扢㌷㙦つ㤰㑥昶戴搱㠹ㄲ〴㍢㠴攲㥣㝢挹〸㐵㝣ㅦ㘸㈵戱㠴㐷㜲散昹搷挱晡攲㔹㤴㄰攱㜸㡥挴㐸攱㌵挸㘵愰㑥〹昲攸㡡〷㉦㠴晣晦㘰㈹收收つ搹改扦挰捣攲㤹㜶ㄴ㕤㑢ㄴ㝤慦〳㐵㠲搷㐰ㄴ晦摥㠵㑣㥣ちっ捦扥愰㐰㌸搷戴㜳〰㝤搹㉦晣晥てて愰㜳ㄱ㜱㈸ㅢつ愱戶ㅢ昰摣㌴ㄱ晡㍡㑣〴〶敦㤵㠹㜰〲ㄹ挱㈸㝥㘸㈲㐴㍥㤰㜹ㄴ㙣㙥㈲㌰戶㤷㘱〸㈶㐲慤〹户〶㑦㘰㔷搸昴㡦ㅤ挳挵㕢改㈳㥥て愵攵捦挰㈳㜵㘵㘷昱㠲攱ㄹ昶㕥㔵㝥搴㤳㔰㘶摥ㄲ㙥㜲慢㉥散㜱昵㠶㌵慡搳〶扥㡡搸换扥攳㑦搹摡晤㜵㘰㉡㑣愱晢㕥㤴㐴昱㐵㜸㑡〴捦つ戹昷敦昹收搱摦㍦昰挸㘱摥㔶㡢㘸戵㜰㌳昲扤㠴散㘹㑦㈰愸㥢戸㈸㜲㌹㍦捣㌹㠱㑦㤴慣搵扡㥣㌶㍣㘵〵昹扡ㅤ㘷㐳挲㑢㄰㘶㐸㝣摢挱挴挴扤㠷搰挴㥣㘸㜳㜷慡て㥢㤴㡢㜰㈲㌱㜱攵搳㡢挳㠶愲慢㈲敢搱摡㉣㝣ㅢ慡攸〵㑥㈴㙤㈵昲搴挹㈴挴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㜷愲㘰㔳晤㉦ㄸ㝢㔳㠸㝣㔷㤴攱㐳㠱昱㤳㑤㐳㌶摣ㄱ㜸戶ㄱ扣㔱〷㘳㕤㘵ㄹ昲づ㜳㡢昸㜸㌵慣㔶ㄲㅣ㝥慦㝣晢搵㠸㘶㕦摡戶〳㕤〵㈰㘳㐳㠵慦㐳〴㜵敤㥦㤶㕢昱改戶昸ㅥ㜴摣㜳挲慡㝡慥敦㥡挱搸㈲㠲扥㘳晣昶捣㠴捤㌳㈵扥搶㉥搴慥挷㑥っ扥て㝤㑥捥㐳㘰㥦㤴挱㑢ㄵ㡢㘴㘴㘱㙢㤱っ㝥㠷㌴㤲〸㉦㔱㍢昸㤷㤹昷㌴㡣㍡㍥㕤㥤㠷慦㌳㘰搱戶㔰㜶愱挷戹晤㠶〶户づ㜷戴敥㠶㍦㐸搶㈷㄰ㅣ㔳㑢㜸捦晢戸慦敤㝢㤰㙥ㅢ慤捤㘷换摥㝣㙥攵挲㔳挰改搶摥㤲㈶ㄹ扥㤳㕦㈴㤷昵ち㈱㉥敤ㅦ挶摦慤㍢㘸㌹摡㈸攸㍣晡愰㥢㡥戰昱㍡摣㘷㕢㠸㝥㥦㐵㔷㌱㐵㠰㥦㙥㐴ㄹ㍥〸㝡昹挸㡡攲㑢㔸ㄶㄹ〰昹㕣戱ち搰㥤慡㥦摣㠸慡㐷㘲㠱㉣㜸挶㈰㌹㤶挵ㄳ㘸挸敤ち㤷つ㤶攰戲㠵㍡㑢㈰慦挷㍤㤰捦〹㥥㈵搴㐴㍥㡦づ捤㠹㔸㈸敤㍥㤱捦㙤㌴ㄱ㐱㉢㐰㉤㌴㌹晥㐸慣㐵昴㍡慡㜵㥢挰㈱㜰〱㠶㈹ㄶ㈹㙢㡡㘱㘸攱㔹㘲〶改㔷搱摦攷て晦昲㌹愶扦ㅥㄶ㑡㄰愲㉡㍤㜹ち㐲㌵昹㑦㈶㈷敦愱戴晢攴ㅦ摢㘸昲㈳㤴㤱㥣㠹ㅥ〰っ昵㠹ち晥愸挵㌴㤰攱㍥昲㈷捥ㄲ攰㤷㥡挵㠸㠱ㄲ搵昷〲㌲攸换つ㔷慤㉥㈲ㄳ昷㉤㜰晤ㄹㅦ昷㈸晢㠸ㄷ㈱改换㈹㠶捥搸㘲愸ㄵ㑢㜶攴㠵摤ㄶ戲〱㑢攲搷戲㕤㐵㝡戱挷〸扦昸㐸㡣㤸㘳挷攲㉦愷戴㈸收〴挲〸㉤㔲搲て㌷㔲㝣㌸㙥晣㥤愷㕢㉥㔳㔴㈰㠱㝡挲挶愴㌳搵昸㐳㜱攳〳昸㉡㑢戵挹昱〶〱搳昳㜱㘳搲愳㙡晣㐸摣昸㉦〷昶㌶ㅢ挷㜴ㄸ㡥㕣㈰㤱㘴搸扡捡晡㑦㝣愱㍤㡣收〵㤳晡㜳挰っ㡢㈹㌹㔵攸戸慥㌴攸㈰㉥㠳㜸昸㐶㝡づ㜷㥢㜰〵〴㐲㌶晣㕦㈵ㅣ挷㥤愷㔹㈳㌰昰〹昴ㅡ㠲捤㥥慥㥥搸戹㘸捥㝢㈸攸㌷㡦晢㌸㔳搵戶ㄵ㠹挰ㅣ挸㠷晢扢㠹㔳㍥挳㜴㙣敤㐷ㅣ㈴搳㜸㠷愴㌷攵愱〲㉢㜹昱㠱ㄸ戳戹㠷㕢㌴愳㍦〴攴㐰㍡〲㌲愳㍦っㄸ〶㘲㜸㕢㌹㌷㐲晥㔷捣晤〱㔶㝣㤰攰ㄱ㠰戲㈰戳㤳づ㡡ㅦ〲搸〳㉢ㄵ晦慢ち㝦慣㈶挷㔶㍤戹㘶昹㍦昹慡慢㠹〷攲㌷㈶㘹㐹晦〸㝢㍤ち搰〷ㅦ慥㠸㈸戱慣㝦ㄴ㈵挹㌷㔳㝡愸㌷㝦㡣ㄵㅦ㈷㜸っ愰㕣攰㡣户扣㜵㕣㔸㡦敡敢ㄳ攸㉡ㅥ㈶挰㑦晦㘴㤴攱㐳㠱㥢昱搶敥〶㌳捦挳昱搷晤㠸㜷愶㍥攳扦ㄳ㥦攵慦㜳搱㝤昸扦㤲ㄴ㤴㜵㥦搷摥搲摢㔸攴〴ㅡ收敡户㡡捤㝥ㄱ攳㜰㕤慤㌰ち㐷愴㘶㈹㘹㐵㐱愴㜳挱挲挵ㅢ昸㤶㐳慡㐲〸ㄲ㠲慡㜰愲㡡挳㈸搰㍦捤愶挴㌱昱愴㝦㠶㑦㐴慤摡挴捦㐶ㄹ㍥〸攲㔵㜵扦㉦敡ㅥ扦㤰戸㔶ㄵ㔶摢ぢ㠹㝦㔵戱㤲㝣攱攳ㅣ㑣㈱ぢ㤹戴㙡㈲搲ㄴつ㍤㠱捣㔰摦㌰攷㜶㉦㝥摡㐵㔱㍤㕢㍢㝢昶ㅦ挳昹戱慢昳敦㝣挷攰攳捦晦攲て㥦晡昵㝢て晤昹㕦㑦㍥昹敢㍦㝥敡戹㝦晤㜰昹搰捦㥥㝡敡愷㜷㝤昹戹㍦散㌶扦愲㍤晤㡦戹慦㍣㌸㜹晥挱晢捤搳㌷ㅦ㝤昰㕤昷摤㌳戹㜰搹㜸㕦㕦㝦晦㡤愳㍦扦敡愶㤱㠷敦㝦㐶晣昸户㔷㍡㐲㉤ㄷ㉦㐸㑦㠳换㔶搳昸㈲㌲㤸〶㘷晣戲㑥㠳换㔵ㅢ戵ㅣ㙤搴㌴ち㑡㜰㙣㜰〲慡挲㐸㔷っ晣〷㜴敦戵㐵</t>
  </si>
  <si>
    <t>Decisioneering:7.0.0.0</t>
  </si>
  <si>
    <t>448ba163-3f83-42d4-82a6-6f4faf25538c</t>
  </si>
  <si>
    <t>CB_Block_7.0.0.0:1</t>
  </si>
  <si>
    <t>㜸〱敤㕣㕢㙣ㅣ㔷ㄹ摥㌳摥㕤敦慣敤搸㡤搳㑢㑡㘹つ愵㉤慤㠳ㅢ愷つ愵㐰〸扥攴搶㍡戱ㅢ㍢㈹〸搰㘶扣㝢㈶㥥㘶㘷挶㥤㤹㜵攲㔲愹ㄵ戴㕣挴㑤攲㈶ち攵愲㠲㉡昱挲攵愵㕣㠵㠴㐰〲愱㠲㜸㈸て㐸㍣ㄴ㠴攰〱㠴㈲昱挲〳㔲昹扥㌳㌳扢㌳扢摥戱扢㙤挱㐵㍥改晥㍥㜳㙥㜳捥昹慦攷晦捦㌴㈷㜲戹摣ぢ㐸晣换㤴㘷收扡挵㜵㍦㤰昶挴㡣㕢慦换㙡㘰戹㡥㍦㌱攵㜹挶晡㥣攵〷㝤㘸㔰慣㔸愸昷ぢㄵ摦㝡㐸㤶㉡㙢搲昳搱愸㤰换㤵㑡扡㠶㝡づ挲摦㐸晣愰戳搷㘰ㅥ㘰㘹㘶㝡㝥昹〱㡣扡ㄸ戸㥥摣㌷㜶㌶散㝢㘸㜲㜲㘲㜲攲攰晥扢づ㑣散摦㌷㌶搳愸〷つ㑦ㅥ㜲㘴㈳昰㡣晡扥戱㠵挶㜲摤慡摥㉢搷㤷摣ぢ搲㌹㈴㤷昷摦戱㙣摣昹㤶挹㍢てㅥ㌴敦扥晢㉤㠳㜸㜵敥搴捣昴㠲㈷㑤晦㘵ㅡ戳挰㈹摦㌹㉢慢ㄶ搷㈶愵㘷㌹攷㈷㘶愶昱㕦㘲晥㜸扡㙢㘲㜱㐵捡㠰慦㤶㥥㜴慡搲搷搱㜱挰㥥昲晤㠶扤捡捤搳敤愳㔸㙡搵昰㠳㠲㍤㈳敢㜵摤㡥㐷㉤搹昳搸扢扡戱㍥㘸㉦㑡挷户〲㙢捤ち搶㡢昶ㄲ〶慡つ搹㘷㝣㜹摡㜰捥换㔳㠶㉤ぢ昶戱㠶㔵换㠷㈹搷㜷㑢㍣㐴㜲㘲㙡昹ㄳ㔳扥㍤戳㘲㜸㙡㐶㍥㌷㈶愳敤㔱慦㥡㙥㝢㘳昷㜱㌹㜵昵〶㡥㜹㔳昷㜶愸㌹㙢㜸捤㤶攳摤㕢㐶㡢㑦捦攰昶敥敤ㄳ㝢㤴敥㜳㙢昷㍥㙡㉢搳慤挵㐰㐴摦㙡㐷戱ㄸ扤㐸搰㑦㔰㈲㈰〲昵㌲挱〰挱㈰㠰挸晦ㄳ㕣㤲散挸㉡慤㘲㘸㤵㘵慤㔲搵㉡㌵慤㈲戵㡡愹㔵捥㙢㤵ㄵ慤㘲㘹㤵〷戴捡〵戴㠹㔳愹扦㕦㡢搲㜳㍦晢搸㥢㕦㌸㍥㝦攴慢户晣㌵㜷敢㔷㝥昳㤳挱㕤㘸㜴㕦㌴愹㔹捦戸〸㔲㙢㔱㌱㌸㠲晦㌶攷ち㌰㠵㜹搰扣换㥣㥣慣ㅤ摣㙦摣㘱ㄴ戸慣っ攴愷〸㘵〴㙤〷捤晢㉤愷收㕥㔴戸扢㙥摡昰㘵㙢攳挶愳扡㘹户攱搴晣搷㙣㕣戹ㄸㄸ㠱扣戶扤慥㌵㐸㐷户㐵戰㤵昴搵晢慥㙦敦㜶搶愸㌷攴搴㈵㉢慣㝥㙤㕢戵扤攰戹换摤㙢㡦㝡昲挱㘶㙤挷㡣愶㈰搴搶搴搸ㅤ慢っ慢挲㜹㡤捤慣戸扥㜴搴昴挶敤〵慢㝡㐱㝡㡢㤲㈲㔱搶搴㔲慦㘴㔵挴昵攳昳づㄶち㙥慤扤㍥㔹㙡ㅥ戹ㄴ㠰㤹㘵つ昳㕤㤵㕥戰扥㘴㉣搷攵㔵愹㈶攱㍢㔱戱㌷㔵㝣搴慤㌶晣ㄹ搷〹㍣户㥥慥㤹慡慤ㄹ㤰㌴戵㤳㙥㑤收昳㌹㈵ㄴ㈰㜰晢晡㠴挸摤搶㥤ㄷㄴ㈲ㄲ㈸㈶㈳㕦㤳㈶扢㠹搳㔸ㅤ㔶㔱㤷愴㐹敤つ㥢っ挶昹㉡ㄹ㤳挱㠱㠹㌵㔱㝦昰愵㙦摣㘴搸㈶收㕥搹挶㥡㌶ㅡ慤晥挸㥡㜴㠲攳㠶㔳慢㑢㉦㔳晢〹捥㐸ㅦ〶㈸㕣㠶㐰攸扡㝢㔴㜵攲㤲㔸㉦㕣戴㙡挱㑡㜱㐵㕡攷㔷〲㤴㐱㐳㤶㑡摣摡㡥愴㕦㠱㈲㝤㌷挱㈸㐰戹㥣㉢敥㘱愳㘲ㄹ㈹㔷愰㜴捡攰攵㤴㈰㘷扦ㄴ㉦て㥡㐷慤㝡㈰㐳愱㍣㙣〲㈳愱㔶㔳攸ㅢ㈲㠹㝡㐶㌵㔴ㄸ㝢捣ㄹ㔰愹㘱㌹挱㝡㡢㙦㍢戸㈴㈴愲ㅤ㔹戰敤㘴〱㐵㐱㕡ㅥ㘴昰ㅡ㠸愶㑤ㅡ㘴㌷㑥㄰ㄱ搹㈰㐳戳㘳攴㌴㤱戱㝤㠶㡣㐰晢㈴ㄱ戲昵晥敥㌲㠲挴摥㐹愴散搴㤵ㅦ㜷愴搹㐶戶㝣㈸捤慥挴挶改㔷ㄱ㕣㑤㜰つ挱㕥〰昱ㄷ㐸㌸㑡㌹攴搳㐹㝦つ㥥昵敢〸㕥ぢ〰昹愴㔳收㐴愲㡡㌶搴㔶散㐸戶ㅢ㠲㥤慣㡣攲㔰ㄴ搱㌲㙥摡㤹㐳戶㐲㜴㘴㜵㙥て㕤㥢㔷㍡昶收敥戴㤹㕣づ㈹㌲愳㘹㜲慤㥢㌴㑤㙥〴㥢昶愸户㙥㐰㔷㝤㡣攰㜵〰㘵晤昵㠴㔰㉥㌴㜸户㘶搱搳愴㝣㔵㤸㐵愱㌱搴愳㠲㡦〸㤹㐷㠰っ㈱搷㜱㝣搹戱愱㘹づ㡥㥢慦㝡ㅢ㝡㕦㜷晥㡥㤰摥愶㌷㜷昴づ晤㐵㉦搲㡡扥ㄱ散㈵晥搰㔵挷摣㠴㙡晤㘶㠲㕢〰摡㜴っ㑦摦㉦搶㔳愰捣㘲㍢㠱戹摤昴扡㈸㉢㜷㘹㝤㔵㉡つ㌴㘸㉥ㄹ摥㜹ㄹ挰㠳㜱㘲ㄶ戶戰敢㜹戲㡥㐳㙤㑤ㄵ昰晣㜲㜵扡搰㍦敡戹㌶换㜷㙣㘴晦㔵愱ㄸ昲㜹慤㉦搷㘶㈳㘷搸㥡〹㥦㔳㠲㜲愸㠳敦攸㉥㈴ㄲ㥤搲攴挵㝥搹攷换ㅤ㐹搲㠳㈴戹ㄵ摢慡摦〶〰㈹㈱㝥搷㔵愲散㘳戳㌷愹㘶㘹㡢㤵ㅥ扥㡣搳㐹㥢て戱㐳㡥っ㠴づ摢㘹昸て晣㈱㝢搱戲㥢挲㘲挰㕥㤰㕥ㄵ扥〵慢㉥换愱㕢㤶愲㘶㐷㔶扣㑡㘴㐵㕦㕦挷㜹㍡挳扦愶攸愴㑤㑡㘴㜲㝢㘶㘵挶㔹扣㐵㔴㜴㐳㔲愸㘴戸㠶㥡ㄲ㠸㤴挷戶㍢㈲愶〷ㄱ㜳㍢㌶㑥摦㑦㌰㐹㜰〰愰昰㙢㐸㥡慤㙥㍣挳㘱晤㙢㜴㘹㔷㉡戹ㄲ搱愰㕣㠴捦㜶ㄵ㔶〷昹㥡㌷ㄳ摣〵搰㘶晥搰〱㤹㐱㠸ち攵〹㐲㔴㘱っ昳慣㈵㉦㤲〶㜶㤹〸㉣捤㌴晣挰戵ㄹ㔹ㅡ㌲㘷摤㔳㙥㌰㙢昹慢㠸㐴㡤㥡㔱收晥ㄵ改㠰扡㍣搸㍥㙤㘵敥敡慡慣改收愲摢㠰㘸㍢㌱扢ㅤづ收搸づ搸㤲敡㙣慥〹愴摥捥挷ㄸ㐲㘰愷㤵扦㤵摥搸㉤㜹扦㜹攸ㅢ㙥敤攸㤲ㄵ搴攵㠰ㄹ㌲ㅤ昳㈵ㄳ扢㠸挸㐱慤摦㕣㕡昱愴㥣ㅤ㌲㡦㜹㔶慤㙥㌹㤲挸㠰㡤挹㘰摤㥣㍣㡦㈸挱㠲换ㄸ愰敢っ㤹㑢㥥攱昸慢〶〳㡡敢扢㔳㑦㉡㉣㔲㌰愷㉤挷挷㙢ㄴㄶ㤹ㅦ㌶ㄷ㔷摣㡢㠸搸㌶㙣攷㤸戱敡㙦ぢ慣㤰攸挳愴㔰㈳㌴愱㘹愲愴㤵㝡挵てて攴戹ㅣ㜹㉦㑦愰㜰㤵㉢搰㘷㥥愱扤㘹搷㐷㌱ㅡ摡改㥣搳㈰愲㐷捤挲扥㑣㈹㑣㑥搵敦㘶㥦户〲摣㜳散捣㠹㔶㘴敥㈵挵慣ぢ昴昲㘷挸㜸㐵ㄶ捤㐰〸㝤㜴扢㐲㔲㘱ㄹ㈹〷ㅣ〸㡣昳愹㥤晣捡愶㙡㐳敡摢搵捡ㅥ㐵㈴㘹搰㥣㌳㤶㘵ㅤ昱㘸摢〸㜶㠵て㌴㘳㙤愳敥㐷㜵㌳慥㙤ㅢ㈴㉤㤲攵㘲搵㈰〵㑦㌵〲昷愴攵攸㈶㠰愲扦愸挸戸㠴㈲攳㤲㉡ㅡ㌴㑦㌳㌴愸昲ㅣ换㍤㙦㜸㔶戰㘲㕢搵ㄲㅦㄸ扥摢ㄶ㌴〹㈶愷攴㡤㔳㉣㌳挶摡慣昹㌳㌰搹晣〹愰㝢〲㜲㤴㕢㐷昴㠳㜲㌵㔱挴㍦搱愳㘳〹〲㐶㜹㑡昵户㘳戴㠲扡ㅤ〱㤱愳搲攵昸づ挶攵㐷㔰ㄲち㈱㘲㍤㠳㐴攰ㄵ㑣〸㜹扡戸㡢收ㄹ挷ち㠰㍤㘲散愸ㄵ捣晡㐰㌹〰戲敡㜸㝢慤挲㙡愲搳㜸㔳㉢摣搰㔹㤵㔲ㄳ搷㜷搶㈷昵挶ㅢ㌶愸づ㌵㑡㐲㤱㙣搶㐸㘹㤶つ收戸㥤㔴㡤㔰㡡㍢搶㌶㈲换㙤摡摡㜷㑡㤱㤷愰㤸ㄴ捤攴昴㜷㈸㐲㐱愰㌷搲㔱昴搹㘷㤳㐷㈲㘲㐳ㅢ愰㑣㍤ㄵ㤶つ㐵㈱挱ㄳ戸㜶㔲㤳攵攸〹晣扤㉢捡捥㌷㠲㔴㡤㜱㘹㌴慡㤹慡搷攷ㅤ㔸〹㔵挳慢㙤ㄳ㤶挶摡㐲つ愳戸戳㔷敤ㅦ㙥㙦㠲ㄱ㈳㌶㘴㔸㈴挳てっ㌶〴㜳㈵㈲慡戴捥㠶戸搵捤攲ㄲ㥦㑥㑡挳㔱ㄸ㔸っ㙡戳㜲㑤㤹㘱㉤㑢㝥㔴㜵㘸㥥ㄶ㤵ㅣ搵捤愹㘵ㅦ㉡㍤愰ㅣ㡦㜲㡡挱㜵昳㌴摤㔲戸挴〰戱ㅢ攵ㄶ慡〱㐲扢捤〱㜸㌲搸㍥搸挱㡥㠴愱ㄳ㕡㘷㤴愰挵っ挲㑤㉦㠲扣搳㈳㐶㈱㐸㑤㤵晥㜱㔸㝣昱〹愶㙦ㅥ捥挵㤹㠸㠹ㄸ敥捡戰ㅥ㠰摣㘴㘴㤲㕣㌴ㅡ〷捣㐳挹愶㠴搶㘰㕣㐶ㄳ㘳㠸㈶㥦ㄷ攰ㄶて㘳㔹挳㘴㥢㍡敥戹〵ㄶ戴㘹㝤㝤㤷㜹挲愹搶ㅢ㌵愹㔴㜱㉣慢㤵㐶摥ㄶ昸㔲㔷〰㐳㙥捡搸㤷㘸㔳㑥攰㈸挵㈵ㄳ㐹扤摢摤晡㘱㜴㔷㐲づ㘳㠴慡㡦〱挸っ户㥣ち㠸㜵摣㔳愰㝤戸扢㜵㠱㐱㕤㥥㠳㐸敢㈸愲㉣㥢挳㝤扣㘶ㄴ㔹㜱㕢愲搹㥣㍢攷搲㘶㑦ㄴㅤ户挲愲㙤㠱㈳慣㌳ㄴ㜸挵㈲㡣㤱ㅥ戹㠳㠳攴㉥㐷搱摤换㡦愸挷摣㘵愰㐲㘱㐰㌰挶换㔳㔰づ扢ち㐶愲挱慤戵慣㙥挱攸㉦㉤㙦㝤ち㐰㌰っ㑣㠳ㄶ㉤㐳〳㘷〶昹捤つ㥣ㅢ搰㉡㈳㐲㥡っ愶㌲㐶㌹ち㠷㍤㤰〶㙥攲㐱㝡挹㠵ㄲち昶愸㡢㘱昱摤挴㜱ㅢ㐷㈰搷扢慡慤㜰挱〸㜰晤挵搹摢㔶㍣㔵慢搱摣㠵㝦㙥㕢㘰ㄵ㔷㌷㐲㜳㜴㑦摢愵㉣戵㈶摡㜷㌷戶㔵㐴㤷〵て捣㑥ㅣ㌷㠲敡捡㘲戰ㅥ㕥摣敡㤵㈴ち㍦㠶㍦㘲挳户搳㘶捥㍢扣㠸扡挶扤㉦㕦㜰摣㡢㡥㥡㔷挱攷慤㍦㔰〸慥㔰昶㜳㤲攵摣ぢ昸愷㤲㤶㉢晣〸㈳㙥㘵摡ㅣ愰攵㈰攱㌸㉡㠵搲㘰っ昹っ㍡㠱敤摥扣㌵㐰㍡搹搳㐶㈷㑡㄰散㄰㡡㜳晥㘵㈳ㄴ昱㐳愰㤵挴ㄲㅥ挹戱攷㑦㠳昵挵て㔰㐲㠴攳㌹ㄲ㈳㠵搷㈱㤷㠱㍡㈵挸愳㉢ㅥ扣㄰昲晦㠳愵㤸㥢㌷㘴愷晦〲㌳㡢敦户愳攸㝡愲攸㝢ㅤ㈸ㄲ扣〶愲昸昷ㅥ㘴攲㔴㘰㜸昶㐵〵挲戹愶㥤〳攸㉢㝥攱昷㝦㜸〰㥤㡢㠸㐳搹㘸〸戵摤㠴攷愶㠹搰搷㘱㈲㌰㜸慦㑣㠴㤳挸〸㐶昱㐳ㄳ㈱昲㠱捣愳㘰㜳ㄳ㠱戱扤っ㐳㌰ㄱ㙡㑤戸㌵㜸〲扢捡愶㝦散㌸㉥摥㑡ㅦ昱㝣㈸㉤㝦〶ㅥ愹慢㍢㡢ㄷっ捦戰昷慡昲㘳㥥㠴㌲昳㤶㜰㤳㕢㜵㘱㡦㙢㌷慣㔱㥤㌶昰㔵挴㕥昶ㅤ㝦捡搶敥慦〳㔳㘱ち摤昷愲㈴㡡㉦挱㔳㈲㜸㙥挸扤㝦捦户㡥晤昱愱挷づ昳戶㕡㐴慢㠵摢㤰敦㈵㘴㑦㝢〲㐱摤挴㐵㤱㉢昹㘱捥㐹㝣愲㘴慤搶攵戴攱㈹㉢挸搷敤㌸ㅢㄲ㕥㠲㌰㐳攲摢づ㈶㈶敥㍤㠴㈶收㐴㥢扢㔳㝤搸愴㕣㠴ㄳ㠹㠹㉢㥦㕥ㅣ㌶ㄴ㕤ㄵ㔹㡦搶㘶攱㍢㔰㐵㉦㜲㈲㘹㉢㤱愷㑥㈶㈱扥摤慥敢づ㔲搷㠵〷ㄹ㠶晤㘳㈹㠵昸〳㈹㈴㜹㤰攱㠵〰㈵愵㑥㈳㔳戸ㅤ㈰㈳戲搶ㅥ攲愵㍦㘰㐷〸挸收愵扦ㅥ㍦㘲挱㉥〲㡢戱㉦扥搷ㄳ㉤㙤搱㔸㌵㌱㔴慢㙣㥡㐵㘴搴攱㠵〵㤳㜱㘹捡搲㌹㠰搲㉤扢愳昸㤲㈱㍢っ扣㠵㡣㕤戰改㙢㉢摢㐷㥣〶㙥㝥㐰捦ㄴ㤵挲㜰㜶戳ㄸ〷㔲ㄵ愳ぢ㥢㤶挳㈲挲攱㌰摢散㌴㄰㔵㐱㘷㌹㝢㜱㉡㐵昰㡦㕦ち戱㝥扣㌵昴㤵敤㌵搴㜱㑥㍦ㄶ挸ㅦ散慦敢㌳ㄸㅢ㙦㈵挷㐰挲㙥愹㔵㈹扣ㅥ㝥〶㕤戸攸㥣搰㕢㔹昵㉣づ攲㑦捣㔹㝤㕡㠷晥㘷昴㕡㜱搶㔹昶㘶ㄸ㍢愵晦摦㠵㠲㑤昵扦㘰散㑤㈱昲摤㔱㠶て〵挶㑦㌶つ搹㜰㐷攰搹㐶昰㐶ㅤ㡣㜵㤵㘵挸㍢捣㉤攲攳搵戰㕡㐹㜰昸扤昲敤㔷㈳㥡㝤㘹摢づ㜴ㄵ㠰㡣つㄵ㥥㠶〸敡摡㍦㉤户攲搳㙤昱㍤攸戸攷愴㔵昵㕣摦㌵㠳戱㐵〴㝤挷昸敤㤹〹㥢㘷㑡㝣愳㕤愸摤㠸㥤ㄸ㝣ㅦ晡㥣㥡㠷挰㍥㈵㠳㤷㉢ㄶ挹挸挲搶㈲ㄹ晣づ㘹㈴ㄱ㕥愲㜶昰慦㌰敦㙢ㄸ㜵㝣扡㍡て㕦㘷挰愲㙤愱散㐲㡦㜳晢つつ㙥ㅤ敥㘸摤ぢ㝦㤰慣㑦㈰㌸愶㤶昰㥥昷㜱㕦摢昷㈰摤㌶㕡㥢捦㤶扤昹摣捡㠵愷㠰搳慤扤㈵㑤㌲㝣㈷扦㐸㉥敢ㄵ㐲㕣摡㍦㡣扦㕢㜷搰㜲戴㔱搰㜹昴㐱㌷ㅤ㘱攳㜵戸捦戶㄰晤㍥㠷慥㘲㡡〰㍦摤㠸㌲㝣㄰昴昲㤱ㄵ挵㔷戰㉣㌲〰昲戹㘲ㄵ愰㍢㔵㍦戹ㄱ㔵㡦挴〲㔹昰㡣㐱㜲㉣㡢㉦愱㈱户㉢㕣㌶㔸㠲换ㄶ敡㉣㠱扣ㅥ昷㐰㍥㈷㜸㤶㔰ㄳ昹〲㍡㌴㈷㘲愱戴晢㐴㍥扦搱㐴〴慤〰戵搰攴昸㈳戱ㄶ搱敢愸搶㙤〲㠷挰〵ㄸ愶㔸愴慣㈹㠶愱㠵ㅦ㄰㌳㐸扦㡤晥㍥㝦昸搷捦㌲晤晤戰㔰㠲㄰㔵改挹㔳㄰慡挹㝦㉡㌹㜹て愵摤㈷晦㠹㡤㈶㍦㐲ㄹ挹㤹攸〱挰㔰㥦愸攰㡦㕡㑣〳ㄹ敥㈳㝦攲ㅣ〱㝥愹㔹㡣ㄸ㈸㔱㝤㉦㈲㠳扥摣㜰搵敡ㄲ㌲㜱摦〲搷㥦昱㜱㡦戲㡦㜸ㄱ㤲扥㥣㘲攸㡣㉤㠶㕡戱㘴㐷㕥搸㙤㈱ㅢ戰㈴㝥㉤摢㔵愴ㄷ㝢㡣昰㡢て挷㠸㌹㝥㍣晥㜲㑡㡢㘲㑥㈰㡣搰㈲㈵晤㜰㈳挵㠷攲挶摦㝤愶攵㌲㐵〵ㄲ愸㈷㙣㑣㍡㔳㡤ㅦ㡦ㅢㅦ挰㔷㔹慡㑤㡥㌷〸㤸㥥㡦ㅢ㤳ㅥ㔵攳挷攲挶㝦㍢戰户搹㌸愶挳㜰攴〲㠹㈴挳搶㔵搶㝦攲ぢ敤㘱㌴㉦㤸搴㥦〳㘶㔸㑣挹愹㐲挷㜵愵㐱〷㜱ㄹ挴挳㌷搲㜳戸摢㠴㉢㈰㄰戲攱晦㉡攱〴敥㍣捤ㅡ㠱㠱㑦愰搷㄰㙣昶㜴昵挴捥㐵㜳摥㐳㐱扦㜹挲挷㤹慡戶慤㐸〴收㐰㍥摣摦㑤㥣昲ㄹ愶㘳㙢㍦攲㈰㤹挶㍢㈴扤㈹てㄵ㔸挹㡢て挴㤸捤㍤摡愲ㄹ晤ㄱ㈰〷搲ㄱ㤰ㄹ晤㔱挰㌰㄰挳摢捡戹ㄱ昲扦㘲敥て戰攲㠳〴㡦〱㤴〵㤹㥤㜴㔰㝣ㅣ㘰て慣㔴晣慦㉡晣戱㥡ㅣ㕢昵攴㥡攵晦散敢慥㈶ㅥ㡡摦㤸愴㈵晤挳散昵ㄱ㠰㍥昸㜰㐵㐴㠹㘵晤愳㈸㐹扥㤹搲㐳扤昹㘳慣昸㌸挱㈷〰捡〵捥㜸换㕢挷㠵昵愸扥㍥㠹慥攲㔱〲晣昴㑦㐵ㄹ㍥ㄴ戸ㄹ㙦敢㙥㌰昳㍣ㅣ㝦摤㡦㜸㘷敡㌳晥㈳昸㉣㝦㥤㡢敥挳晦㤵愴愰慣晢扣昶搶摥挶㈲㈷搰㌰㔷扦㔵㙣昶㑢ㄸ㠷敢㙡㠵㔱㌸㈲㌵㑢㐹㉢ち㈲㥤ぢㄶ㉥摥挰户ㅣ㔲ㄵ㐲㤰㄰㔴㠵ㄳ㔵ㅣ㐶㠱晥ㄹ㌶㈵㡥㠹㈷晤戳㝣㈲㙡搵㈶㝥㉥捡昰㐱㄰慦慡晢〳㔱昷昸㠵挴戵慡戰摡㕥㐸晣慢㡡㤵攴ぢ㥦攰㘰ち㔹挸愴㔵ㄳ㤱愶㘸攸㑢挸っ昵つ㜳㙥昷攳愷㕤ㄲ搵㜳戵㜳攷晥㌵㥣ㅦ扢㌶晦慥㜷づ㍥昱晣慦晥昴改攷摥㝢攸慦晦㝥昲挹攷晥晣改㘷晦晤攳攵㐳扦㜸敡愹㥦摦昳搵㘷晦戴摢晣㥡昶捣扦收扥昶昰攴㠵㠷ㅦ㌴捦摣㜶散攱㜷㍦㜰摦攴挲ㄵ攳㝤㝤晤晤户㡣晥昲㥡㌷㡥㍣晡攰昷挵㑦㝦㝦戵㈳搴㜲昱㠲昴㌴戸㙣㌵㡤㉦㈳㠳㘹㜰挶慦攸㌴戸㕣戵㔱换搱㐶㑤愳愰〴挷〶㈷愰㉡㡣㜴挵挰㝦〰㤳昳戵摦</t>
  </si>
  <si>
    <t>CB_Block_7.3.0.0:1</t>
  </si>
  <si>
    <t>Decisioneering:7.3.0.0</t>
  </si>
  <si>
    <t>㜸〱捤㔸㑤㙣ㅢ挷ㄵ收㉥戹ㄴ㤷愴㘴㌵晥㐱攲㥦㠴㘹㥣愶愹㕣㔶戲慤摡㙥敢㈶㈲㘹挹㑡㘴㠹㌱㘹扢㈸㕣㄰㐳敥慣戸搶敥㡥㌲扢㤴挴昴㔰㈰㍤ㄵ敤愹㑤㠱收搲㈰㘸㔰昴搴㕥㡡愲㐸㙢戴㐰㔰攷㄰攴㔲攴㥣㘳㥢晥ㅣ㠲ㅥ㡡昶㔰戴摦㥢㕤㔲ㄴ㐵昹㉦㉥攰㤵昸㜶㘶摥捣㥢㥦昷摥昷摥㑥㐲㑢㈴ㄲ晦挵㐳㙦㝡㔲㔴㌸㕡敢〶㈱昷㡡㘵攱扡扣ㄵ㍡挲て㡡㜳㔲戲敥㤲ㄳ㠴㐹㜴㐸㌷ㅣ昰〳愳ㄱ㌸慦昰㑣㘳㠳换〰㥤㡣㐴㈲㤳㌱㜵昰㐹〸晤㈶㝢ㄵ㤳㐶攵㔳㈰昵㜲㘹愵㜹〳㔲㙢愱㤰晣㐴攱㙡㌴昶晣捣㑣㜱愶㌸㍢㝤收㘴㜱晡㐴愱摣㜱挳㡥攴攷㝤摥〹㈵㜳㑦ㄴ慡㥤愶敢戴㕥攴摤扡㔸攳晥㜹摥㥣㍥搵㘴愷捦捥㥣㥥㥤戵捦㥤㍢㥢挷搴㠹㙡戹㜴㤱扢敢㤰昷愰愴愶㈱㜵戹㕣慡㑡㙥㍦㈸㤹〶ㅤ挴攷㉢扣攵搰㠹㜱㉥ㅤ㝦戵㔸㉥攱㝦攰㔴㔰㍢㔳㕣愹搵㕡㉣っ戹愴扤㤹摥㑡慢㜹㤵戹ㅤ㥥昶搴㜲㌲摥㔵㈶㤷㤹挷挷扤㉢〱扦捣晣㔵㑥㌵挳㕢攸㌸㔶ち㕡㑣㍥㍢㙡㤲昸㠰㡡㉢攵㔲戹捤㘴愸㐴搲〴㔳愳㝡慢㤹㡡昱㌲㔴㝦搵㐲挷愲攵㘲ㅢ㔱昳搱ち挷㠸㘴㐰搲㈶挸愳ぢ昲㥤㌷㙤愷㈵ちㄶ㉦㔴㥣㠰搴昲捥㑦㐴㘱㐶㑢晤ㄳ收㌶㌸㍡㠷敥㝡㠳改㡤愶摥㘸改つ㑢㙦㜰扤㘱敢㡤㔵扤搱搶ㅢ㡥摥戸愱㌷搶搰愷昷㘴挶挶昴昸㜹攲㐷敦扦晥敥㘳敦㉤晤攰摦㙦摤晣㠰晤昲戵㍣挹㕡挶收㡡换㍣㝣㐰㔶㘰搰挶敥晥㌰昳攸㙤㜸㤱㉥㉡㍣㘸㤹愴愸㐵摦攲㕢㘹㤴愰挰扣㔷ㄶ㝥挸户挲ちぢ搹㤸㔷㘵㤲晢愱㠹㑥㔳㙡㔴㔴愲㤱攳慡慤㌷㍡ㅢ搷㈰㘱㔲ㄵ〷愴攴㔴㐳㈴㐹㠳摦㈵㔳ㄱ捤愴㐷㜹昲㐵ㄶ戴㐳搶㜴昹昱㈱㥤搳戹挱捣慥㠴㡥ㅢㄴ㈱㜲㐱㡡捥㍡㥤攸㠳㤲愳㉣㤹慣㈳㍤づ愲㜰㠷摥㜸㥥㌷㈷㐰戳㈶㌱㑤㘲ㄲ㈶攱㐵㑦捣换㍦㠲昲㑢戱搵㔵㈴摢㠴攷㙣慢ㄸ戰㐱㝦㜷㠶づ㈰㠷㍤㙢㥦戱㘷㘶慣搹㘹㜶㡡ㄹ㘴戲昷㘲晤㑦愰㝦摥扢收昸㤶搸㔴敥㌰敥搵ㅣ愵攴ち挱㘳摥慢㌳戹捡攱㔹㜲戱㤲昵㤴搷搴扢敢㍣攷搱㥡慢挲昱挳㈰敦愹㜷慤敢㌵㠵㥢㡢㉡挰㕡㈱戳㌱〳愸㙡慡晥㑢㡥㡦ㄲ搱ㅡ摡戲慡愴㝡㐶㡤㈴ㄸ搳户挵收扣攳〲㉡戸㜵㐴つ㉢ぢ㈹戹换〸戹换㠲摢昰㐳〷㐶㌶攱捤㑢攱搵戸ㅦ愸㔵ㅤ㔲㕤㉦昳㔵挹〳〲愳ちてㄹ㌴㝦戴挴〲扥敤散㔳㜶戴搵㤲攸昸㔶㜰㘴㌴戳ㄶ戲㤰ㅦㅥ收㙤ぢ搹㌵慣〶攰攳㠱㍡扥挷㠷㠷㈹㉦㤹摢㜲㈲昶戱㈱㌶攰㑦㌴昷收捥㑢晥㜲㥦扢㙢㐵㜳〸㘶ㅢ㥣昸扢㜶ㄹ戱愲㜵ㄵ捡㙤ㄱ㜰㕦㉤㙦捡慢㍡慤㌵㉥㙢㥣㐲㈱户搴㔶てㄲぢ挷敤户㜸㌰戵攲㘳愳挰㕦敢搳㠳慤昶㠵慤㤰挳敤㉤慣ㄷ攰ㄷ㜶敢攴㜲㠷㜶㜴㠹收〴攳戱ㅤ捤昳愲搵〹挸扤愵㜰㜷㜲收慣つ㠶㌹慤㑢挲攲愹愴㥥㑡㘸ㄴ㔲㔳㐴ㄲ㈹扣昱㈰敥㈶㤳㜰晦ㄳ㐳捥慤㘲っ㑤ㄳ昴〰㝤挰㠴〹搱㐷㐱㐵㍦攸㍦戳户㌴愵㘵㌲㐴晡愹搰㜰㘰愷㤳㔲ㅡ㈱㈴㜹敦㤸㌶戶㈷㙦㈴挲敥㔸㉦㜹㐱㝦づ㑤搳ㅥㅤ㥡收㌲昴〳㍤戸㥣愶搲㠷挱㙤㘰晦摢㜶㐹换扤捤挴〳㕡㈱搷愶摥㥦扤挳㐱昴㙤敦晦摢㔹搷昷挷扢扦戰〱捦扥挸㝣换攵昲戶㉡搴㘸㐵收㝥㈲〷㐰戲挶摦〰戱㜷慢㔷㑡收挶㌶㈸㝣㌵ㅡ〸〷愸㤱捤㘹改㐳愰改㑢㑣挲戴㡤扦㐰摥㐸昵㉡ㅢ昵㈹㍢㔱ㄲ戲㙢扥搸〴㉥挱㈸㡣㠰㠰㠳㠴㥢㘳㘳愴戶㉣㝥昱愳㈷昴㠴㠶晦㡦㈰㤶㐴㘷慦㕦扦ㅥ㠷〴㍤㘱晣ㄹ㉤户搱㕣㥣戳昴㑣㘶昷昲㘹ㄲち㤲挶㥦㈰㘸㑦㑢㔲㥢摣搲扡挶愶㘳㠵敤㜴㥢㍢慢敤㤰㠶㘶昰搰㝡㑦挷扦ㅦ㈳搱愵捣㔷㌷㡦愰挵㍣㑡攴ㄸ㐸㌶ㅢ㠵戳㜴搶愴戸㠱㙡㡡〲摤㈸㐵昵挳㌲攵ㅢ搹㈵挱慣㜹搶㐲㡥㍣ㄶ㘷挸㤹戲昰搶㤱㉣挸㐹敡㔹〶〲〰㔹㌶ㅣ㡢换っ㌵㔰㝣㐸㈱㐱づ搲ち㍦〳㘴〱挹㠴㘱攴㌲愳收㕡散挹㍡ㅥ㕢ㄱ戴搱捦昴ㄷ㜷挹晦晢㑢㘷㥦愳㑣㍥㥢愵散搵㉣㄰㜹ㄲ挴㈰㙢扡㈷愰搹㐷㐳扤慡㉢㐲㕡敦㠴㔷㤶昸㤰㤰づ㕢㜲㍣㈷㍣搸慦㉥㜷扣㈶㤷㜵㌰摣㘰㝦扦戵捡㘵ぢ挶捥㔶昹㘱攵挲〳〰㌶㘵㕦㜵昸㈶愱挳ㄳ扢㔹㐸㤰换㥤㈰ㄴ㉡扦㝡㝣㌷扦㈲㤶㐵㐸㌹慡换扡挷㐷戰㈳捥戵㌶昷〱晥ㄲ㌱攰㑥㥤挴晡㍡户㐶慣戱㈶㍡搸挱㘲攵㘱〸ㅦ捡㠱愱㡤㠴愶挲㐵愶戸㌷戰昵㍥〰〶㜵㐵㄰㤰挹攸㠰㘱敤晥㤰㠸㕣搲昸㄰捥㜷㡦ㄳ㡦㜶攵㡦㘰㤸㠴ㅤ㤳戴愱㙣搶㝣ち㙦㌸㥢㐶㐸㐷㈳捣攳㈰㘴挲昴㌳挸㐷敦㉡㍥㤰戸㝤㜶摦㝥敡㑥攸昲㥣慤㑣㐴㤵㌳㌶㉣〲搹㠱㌵㘶搷摢㤲昳捡戸扤㈰ㅤ换㡤㈳搵㠱愸敢ㄲ㕦㐵㈶㔰ㄵ㠱㐳〹搹戸㕤㤷捣て挸㤵晤㔶昷㤱ㅤ㌵攵扡㠶㕤㜲晣〰搳㈸㥢愵昲㍥㥢㔲㍣昸㘸挷昳ㄷ搸㝡昰㔰搸てㅤ㙢昴㈸〳搲㜴㑤搷戵㡣㥥戹㑦㝢㐸愴㥦㠶㌴戳搰晢㙥㐴㐵㑦㥣㈴㑡〴捡㠴㍡つ挲搵摢愰晥㔰扣愶ㄵ㈲搵摥㑥搵㤲愳戰戰㥦攳愸昸昸ㄹㅡ昳っ挸ぢぢ㔷ㄶ户㍦㉦㍥搱敤㠴㐱㤱攰慥ㄳ㠷㠳攸㍣ㄱㄹづ㈵ㄳ㠴㘹愶搲㍦搵㠶㡤㌱㙢慢㍥㘴㤷ㄳ摢挵㜹攴㡥㜹㝢㠹㌵戹㍢㉦愴挷挲㠹愸㐲㉥敥〱㔲㘳ㅥ㠲㠰挷挸搰攸㈶〰㑥敥昲㡣㍤搷〹挵㈵挷㌷㙤㄰㘵㡤㜱ㄳ摢㐲ㄳ摢㔲㑤㜹晢㌲㝤っ㐴㜱〶戲挴㉡〳㌴戴㍤愷㤵愱ち㈵散て㠵㠵挲昵㈹㠰昷ㅥ㘵愶㐰慣挲㄰搲㐵摦扢㔰㜷ㄱ〱㠵㡥㡥搴て㍢搶戵㌴晥戴晢捣戴㤰㕤愸て㔹昳㔹㐸㌳〸㜶〰㤵搱㔲㍥敥摤戶㝤晣㉤戴㈸换搶㈸㍢㈰戶昹戹戸㐰㤵挹〲〸つ㑤㑦㠱㑣㤴㑢㡤〱㘳㑥㥦㐰摢愷搰ㄶ㕤ㅣ㉤㕡〸㡤㑥搸㥤㝣㌲ㅥ愳敥㘲捣㈲㙡ㅡ愱愱ㄲ晥㠵戸愰㠴ㄳ㈴搲昹㤸搳㐴㘶㐰挶㜵㡤散㕦㜵㔵㕥㠷ち㍤〶敤攱㡥挷㐶戲戲㌶ㅤ㘰㉤散扡㌰㕡㉡搲㐵㐸㔴㔲ㅦ戰慡㑤愵㝥戸愲㑡つ攷㕤晤戱㤴㕡攵㐶收㤲挴㈱晤ㄸ敦㡦挸摢晡攳㘹〷摢改㉡㡤愱㈷㑤搹摡㠱㑢㑥㑢㡡㐰搸㘱愱〶ㄸ㉥搰ㄷ㥦㥤㐸㑣捦㘹敦㐱愲㑡㌴㔵㘷㤰愷㜰ㄲ㤳愴て㜵㑡㕦㐴㘱㍣㤹㍦㠳ㄷ㉥㑡㉡挲㘳㡥晦愰〰㠲戴㌴昲づ㈲㥡愶㝦㍢搸㔳㌲㕤愴攴改㑡戰㡥愰㐳㐷㥣㔱ㄵ㐰挵戸㜷㑤挸戵愶㄰㙢搴㍣愱㙡㐱㥢昳㤰敥改㜲㕥㘴㉢㔴㠶㌵㈶㤳㍢慥攱攲㔴㤰㤸戴挹昴㔹㤰㘳㜵㘱㠹愰㠰晦㌹昹㜲挷搹㐰〱昷㜹〸㘰㑤收戶㠵㐹㕤搲攷㐰昶㔷ㄸ昵戳㐴愱㕡扤㕡㌸㔹摣㜲㠳㉤敤ㄶづ㤴㉥晢づ晦㐳晦昰慦㍦散㤴扦晦敥捦扦㝥戶㜸攳愶昶㠷㤸㌱㝣㝤㌷㐹昶愹づ晢㉢㈸㡣㈷㌵戲㑣㍡ㅢ攵㐹改慦愲㤴㥣ぢ㍣㔵搳㝥ㅦぢ㘹扤昹摤捡户㥦晢愰昴敡㑦挵捡㉦㥥慥㝤㑦晢㕤捣戸㜹㙢昶㤵㌵昷挵㠵户㙥㉤㙢㉦㈴扥搹搲挸挴户愵㤵㐸摡扣㙣㐵搲㝥扢㤷戴摦挴っ摢晥搵㜷㝥戶晥挶挵㔷昷㑦攵晦昸㐶昱㕦㤳㍤〷㌱挸㌰扥㍣㠴㈹〳㕦㥢〳㉥㍢㌵㝣㈷㜰〱摦昸㕤㜲昰㈴㌲㜷㐳〱㙡㑡晦搲晤挹敡㝤ㅡ㔳ㄸ㌳摥挶慡㍦㠱㥣㥤晥㐳ㄲ〹㥦捣〵㄰㡤㔴㐳㕢搶㝥㡤㌹㘸㥥慦愱㠲㑣搰㈰敥戰捦㤲搳捦搳〶㠷扥愰㜲㌹㜲捡晡敢㙦㍦晦㥦㔳摦㤸换晤て挷㤲㥦慥</t>
  </si>
  <si>
    <t>㜸〱敤㕡㕢㙣ㅣ搷㜹㥥戳摣ㄹ敥㉣㤷攴㕡㔴ㄴ摢㠹㙤㍡戱㜳愳戲ㄱ㙦㤶㘸㠷㤰㜸搱㠵㌲㈵㔲㈲㈵㐵㑤㥤搵㜰昷㡣㌸搶捥づ㌵㌳㑢㤱慥㘱㉢づ㠲昴ㄲ〴㠵㝢㠳㠳㈴㜲摤㈰㌷ㄴ㑤㔱愰㙥攲㈶㙤摡戸㑥㔰㈸㘸㄰昸愵㙦㐱㘰愰〵㕣ㄴ㙡㥦っ搴㠵晡㝤㘷㘶挹摤攵㜲㈹㌳っ捡㠷ㅣ㜲晦㌹昷㤹昳摦捦㝦㡥㈶㌴㑤扢㡤挴㈷㔳㤲㤹昷捥慤〶愱㜴㜳ㄳ㕥愹㈴ぢ愱攳㤵㠳摣㤸敦㕢慢搳㑥㄰戶愱㠳㤱㜷搰ㅥ攸昹挰㜹㑡愶昲换搲て搰㐹搷戴㔴捡㑣愰扤晡换㔶㌳㈶㐷㤹㐹㠰っ㝡㘹昳ㄳ攳㌳ぢ㑦㘲敡戹搰昳攵晥摥昳搱〴愳晤晤戹晥摣昰㠱㠳〳戹〳晢㝢㈷㉡愵戰攲换搱戲慣㠴扥㔵摡摦㍢㕢㔹㈸㌹㠵挷攵敡扣㜷㐵㤶㐷攵挲㠱挱〵㙢攸㔰晦搰昰戰㍤㌲㜲㈸㘳㘰收搳ㄳ攳戳扥戴㠳㥤㥡戳㥤㜳捥㑣㡣攷㑥换㜰愷收㑣㘱㑥㑣㌹改戹㤶㔳摥愱㐹㜵㈲㜸㜰㔲ㄶㅣ㔲㐲㑡摦㈹㕦捥攱戳敢㄰㡤搲挱摣㌱㘰扣㘰〵攱㠴㉣㤵捥㑡㥢ぢ捣戸挴㤹昴㘵戹㈰㠳㉥昷攸㑡㐱㤶攲收㈰攵㥥户晣搳㤶㉢㤳捣㜴扢ㄱ摤愶㡡戲ㅣ㍡攱㙡愷㝢㉥㤰㘷慤昲㘵挹㉥扡㝢扣攲ㄴ㤳㐹㤱㑣㙡㙤ㅦ㙣昶㌱㡡㌶戹㘳㝥㘱㘲搱昲㐳㔵㈲搵晡㥢昵慤攱㄰昵攱㜵㥦㐵㉥敡㙤ㄸ㐵㌲捤㌹敥攳搲㉦换ㄲ㕦挲戵昵㌵㜴㔲㌸㠹㔰扦㠶㥣敡㙡㐸ㄸ搱ㄱ㌳㍦㤷挲户㤸㈶㐱ㅡ挰攸〰㘸㥢㥤㍤㙦㘶㔸搵〹㈰㤲晦つ攱愹ㅤ挲㍥㠹扣㤵挸㉦㈴昲㠵㐴扥㤸挸换㐴摥㑥攴㉦㈷昲㡢㠹扣㤳挸㍦㤹挸㕦㐱㥦㙡㑡戵户㈷攲㘴摢㉦晦捥㌷㤶㙥㥣㜸慥愷㉦昳戳ㅢ戹户㜴捡换㜰戳敦㙦㐴捤㔸㄰㔴摣㈵ち㙡㑣㌶慥挴㜴㈷㠳㜰搶昲摤㘰㘷改ぢ敡㙥㐵攰戱挰晤搵ㄳㄸ㉦搹ㄱ〲ㅢ摤㐰㔶㘱㕣㠶搶晥㔳㑥㜹㜴㈸㌷〰㠵㌲㌲㌲㜴㜰戸㝦㜸㘸昸㤱挱㠱晤愷慣㤵搱愱晥摣搰挸搰㐸晦攰㠱㠱挱㠳㈳〳㠷〶〷昷㡦㤵㤶ㄶ慤搱晥摣挸挸挸㠱㤱挱㠳㠷ㅥㄹ攸㍦㌰㍣㜰㘰㜸㍦攷ㅡㅤ挸㍤㜲㜰㜰㘰㘸㘰戸㝦愰扦扦㝦昸搰愱㈱㌳㑢慡摣〵㘰散〱㐸㑣ㅥ㌵㝢㔸戳ㄷ㐰㠸㌷挱㐸㘴愶敦扦㌶晣搴㤵搲攳挷扦晡摡㘹㜱㔲晢慤㐲㘶ㅦ㥡捦挴㑣㌹改㕢搷㈰搹敢㑡〳㥡㤲㝦㕢㙢㑢㈸㑢㝢搸㍥㘸昷昷ㄷ㠷て㔸㠳㤶㑥戶扥㔳ㄹ攵ㄷ㘶散ぢ㑥戹攸㕤㔳㐲㥢戱㡦㌹愵㔰晡慡搰㙤攳ㄱ㈹ㅥ㔵敥戴㡦慥㐰㘳ㄷ㈲昹摥㙢㑦㐸㍦㠴愶ぢ㔷搷㜹攲扤攳㔶㈰搷㡢㝤昱摣攳㕥愵㕣っ摥搳扣㜱㉥戴㐲㜹㙦㘳摢晡㈴ㅢ㠶捤㐱ぢ捡㐰㝤搲晤㡤挳捥㕢愵㡡ㅣ㕢㜱愲收晢ㅡ㥡愱て扤㠵捤㕢㡦昹昲敡㕡敢㠶㉦ㅡ㠳挵㕣㔶㜳㙦㔸㘵搴ㄴ㝤㔷敦挴愲ㄷ挸戲晡扣㍥㜷搶㈹㕣㤱晥㥣愴扤㤵㐵戵搴㜷戱㈹㔶捡㝤㌳㘵㉣ㄴ㙡戶昸扥摡㕡㈲㕡㤶㡢戲㠸敦㕤〲㤶㔷攷慤㠵㤲摣㔷搷㈵㝡㈷ㅡ敥愹慢㍥收ㄵ㉡挱㠴㔷づ㝤慦㔴摦㌲㔶㕣戶㘰〸㡡愷扣愲㑣慡愴㐵㔰㘸㙤㙤㐲㘸ㅦ㙡愶㤱㌸㜷㐰㥤㕢挳㈴搴散慤㍢搷㌰ㄱ㍢㌷搵搵㙢㌳㈳㔳挳㘴散晦攱㤶㕦㔲换㠴散㝤愰㘵敦㈶㑣捡㐱㜷搷ぢ㕥敥㉣攸〳㍡〰挹㘸㑣㍣戴昹㤴敢㝣戹挵㤷搶㔰㠵敥ㄵ㝢户㐰㥡㥡㜶㡤昷㝥戵㥤ㄳ㠹㥥㜸昵㐷㤷㘱敥㑦㔸攵㘲㐹晡㉤㥤㐳挱㉦㌲摦㑤㜰㌷挱㍤〴昷ㄲ扣〷㐰㝦〳晡㙤㔳㡣搲摡㠹ㄵ戱慡㕦㜳㡡攱愲戱㈸㥤换㡢㈱敡攰㔴愶㔲㐴昷㘲晣㝢ㄵ㕥攵ㅢ昰㔳㠵㜹ㅦ㙡捣晢〹ㅥ〰㐸愷㌵愳ㄷ㑦捤㐸㥢て昲昱㍥㠰㥥㤳ㄶ扣〱慢户㈸㝢㠱改㘵㈷昸攱㥦㜹㘹㑤愷㍤㝦攷㕥〷摤㔹㔳㌹㌹昰㐲〳摤㠵㉦ㄵ戴戵㌵挳挸〹㉢㔸っ㈹㡣㉤ㅢ㤵㝦昱㝥㑥晡㄰㐰收㘱㠰搳㈷㘴〹愲扣㔳づ慣㑥㔷㘵㑢㐷㠹收㘸㥦㍢户㕡㉥㉣晡㕥ㄹ㍥晤愴ㄵ㕡㘳〵㜸㠳㠱戰っ㜷摡㥢愸㠴㠶㝢挲挱㈳攳㥥㤵㑢搲ち㈷愰慡挳㑥㜷ㅡ㥥愴搲愵㔳挵ㄵ摤㡤㥣挰㐹ㄹㄴ㑣㝡㡢㔳㔰㑤㉢〶㜲搰戵ㄹ㤷捡㐶慥㠴㥣扡摤㠵㕦〲㤶㌲搱愹㑦㡤㡡㜲ㅣ搹愹敡慡愳搳㜱〹㌳㘴㔵戶㘶㤶づ㔵ㄱ捤愴㤱㝢㘰㐵攱愰㈵㘳搸㈸㐵攷㐲愷ㄴ攴㘲昴收㈶㍤散㈶愴摡搵㄰敤㠶〱㈶㌳㕡ㄲ慢㔱搸改㙥捥ㄴㄶ愲㘹昱㈹挷㝤慦戲㐴㡦㘴愷收攱㕣㥡昹〱㠰ㅢ晦昵慤挷ㅥ晥昲户㙦挷捦㘷㈱㐶㉡㤹昴㌶捤㕥〰ㄶ昱㔰挹晣㌰ㅥ改㔶㙤㍡㝤搷愶摡㜶ㄳ捦㤸㡣㥡㜱戱摡㜹㕦㉡㔷㍦愵ち慢㑢戲搳扤攰昹㔷ㄶ㍣敦ち㠹摦愵㑡挱愲㤴㈱晤攷㡥㜸扢挰扣㄰愲慤慤捥㔳慥㜱戴改慦ㅡㅦ〵戸㙦摥㉢㝡㐱㉦晥挷晣慢ㄵ㘷ㄹㄹ㐸敥扣㙦㉤㔸愵㐵捦挸愱㑢ㅢ慣㡣昱㌱㘴㝡㈶㉤昶㉤㝡扤昰挹㝢〷㜲㉢愵㘰㐵晣ㄴ㠸愰ㅢ㔵昸搳摦㥢晣捣攱搷挷㥦晢㥡㌷昳敤㠷攷㍥㉦晥㈵㙥搸攰㘵搳㉢㙢攱〸搵昹戲散㕢攷〸㙤㌰昱㤱晤晢戵㈳戳敢ㅣ㤹㝡㈷收㈳㕢㔸敥〶㌷㘶㔳愳昵㙢㌷愰㔹㡣㈸㜲〳〶㈰㉣攲㈷㄰㍢㥡晤攷㔰攰慦㙡扣ㄳ收㄰㑡收㌰挱㈳〰㌰摥㑡㤱挱㜶ㅦ㡡㡡㠲㍢㈵摡㘹㜳㠴攰㔱〰㥤晢愵搶搶っ攲捡晤㕣㤲㥢摦㑥㜷㔲摡ㄶ挲㐸捡〲〹敢晦搳㐰㈵ㄱ㕡慢戱㑥慤ㄷ㠱㙦愷昲㌷ㅡㅤ摣晡〸〷攲㉥挵攳戲㍣て㉤ㅣ散愴摤搹㐹晢㘵㍥㠶㜵㔴㤳晥㉡ㄸ攱捥搷〴㜴㘹敤换㜴ㅥ昲㜹㉤挵ㄵ戲挶愴戳戲搱收ㅤ㐶㙤扡㔵㥢攰㈶㤶㜶捦愴㥤㌱㈶〱摡挰㉣㈶㉤㠹㜸㈵㌶づㅢ慣挶㜷攳㠶挶㕤戹㑥ㅦ户搱挳㔰戱愵戵晤㑡㡤ち改攲ㅢ敤㜳㘵㈷っ㍡散戱㑡攸ㅤ㜳㐲搰㌸㘳〳㈰慢㠶摣慢㕣晢㥡㐱㝤昶㜹㐷㕥㈳㜵ㅦ搸搸㠴戰摢㐴㈵〸㍤攵㍣摤扦戱㝤搲㍢敤㠵㤳㑥戰㔴戲㔶ㅦ㙡搲ㅣ戵㕣㔸㤴㘵散㌵㝤㙣㌹户敡攴㉤㉤挹㘲㤳㙦㥣昳㉡㝥㐱㑥㑤敥㠶摤慡㠸扣㐰つ㡥〶㘴㑤㍣扣戹㡥慦挱㍢㜷㉣〹㌸㈷㘲㝢㥢ㅤ攳〴挶㈷㕤昷㘳㠱㘶㑥㈱ぢㅥㄵ㔰㘶收㐹㘴愱搳㜴㙥㠳㕡昳㐹捤㈶㤸敥㕣摡〶㙤愳扡捥㌸捡㌲㔵づ㥣愲㑣挷㈵〴愹扡攲散㑣㈵慣㙢戱㔶㝡攲㤶戱㔲㘹愶っ晡ㄷ㉣扦戸ㅢ㐸㠳㠵㈱㐵㜴ㄱ〶晥戶㠷敤㘸ㅡ㑤扢㔵㍤戰戸昵㉣愴晥㜱㔴ㄳ搷摣㙤㌶昵㙡搷㘴ㄲ㤹㥡ㄸ〲つ㐵㈷搱扤㔶㥤㘲改㤴戴捡㡡ち㜳㘱㜱㔲㉥㜷愹ㅥㄲ㕣㡥㤰㜷㐹昶搴ㄷ㤵㘹㌱敤戱㠵挰㉢㔵㐲搹戵㤶㔳搲㙥摡㘷戱昹㘴㍣㈸戳㤶㥢㉤㠴㠸㤸慤捤挷㔸捦敥愱㄰㌰㤲㡣愹㈴ㄴ㥤㡣ㄶ捣㕢扦〸ち搲㌶愹ち扤㙥慢昴㥦㠷挵ㄷ㕦㘰晡收㘱慤㥡㐹㌳㘹㍡愳〸㡤戶愳㕥攱搶〶㝣㈸㐹㍤搵㌸㘴愴收㤴〶换㔴敢ㄸ㙢改戴㤵昲㐳㐰㤵㘱昳㙥㡡㑥〹㐷㔱愱㔳戰㑡愵搵㉥㝢慡㕣㈸㔵㡡㜲摡㕡㤰愵慡攲昶㝣㜷㤷搰㑢ㅤ搵㐵戴㙡㠱㤷ㄸ㈹㔳㌸慦慢㠶㤷戶慤敢㌴㜳ㅡ㘸㔵戶ㄷ㜳愴捤搳㈸㤱㌴㡣敤扣攳攸ㅡ㍤扢㍤敢戱㘱㜵㠸〴搵戶愱㡡㍡㡤㔱㠶戵〰㥤㤲戸㥡㙥搳摥戴㠷攰㘹戱愶敡㠴ㄳ㔵敤ㅡ戹㔲㘴㌲っ㘳扢㔶〶戸㐲扡㜵晢㘷攱〷晥晤㤹昲慤挳攷㕥晦慢戳搳慦扤㜹㔸ㄳ㤱㜰㌰㄰搶ㄸ㥦愸ㄱづ攵〰㈸㈵挸つ㙣㌷㌵㔸攴㍤捣㍢㘱㐹㜶搸慡㕤攵㔳ㄴ〹㘲戳摤㥥㕦挴㕥㝦戲搳㍥敥㍢挵㤲㔳㤶昴㐴㄰捣攷挱摤戴扣㡣戰昳慣ㄷ㌸㍣㜳敡戴戱㍦㉦〷㑢っ改ㄴ㔶昷搴㤵ㄴ戱㜴㝢摣㈹㐳㠰愲㜷㌲摦㙤捦㉤㝡搷㜰扥㕣㜱换挷慤愵㘰㔷㄰㡡摥㘵㤴㈲愹㑡㠸㐴㐲愴ㄲ愹敤摡㉡ㄵ㠱㔱㑥㉢㜷㐲〹〲㠸ぢ〵㠶㈱换ㄶ㌲㑢㑡挵㠱㝦捡㉣扦慢敥〸慦㘹挴㜱敤㠰㕥㠵㘰㘷㌹收っ挰挹攳攷愶搶㡦㡢㝥愹〳㜶㥤㐱搶ㄶ收㐰戱挶㕡㙣晡㕤攸摣ㄵ戱ぢ敢挸㍤愶愲㍡㑢㡤㉣㤸戶㔵ㅦ㜲㈳㉣㈸扢㌳㝢っㄱ挳っ㠴ㅦ敡ㄷ㤱㔶攸摤慥愸㐰扦捥戵㑡㐱摣㌶攱戹慥㐵昶㈲㙢捥㐱㜷换㤴㜲戲愱㑤㑣ㅢ㐰昱㘰㕣㘵慤愰捡㕡㔱㔵㌰挹㍣㙦㔲㜹捥攵㕤戶㝣㈷㕣㜴㥤㐲㡡〵㥥〹敤ち扥〴ぢ愹攸㈶㄰捡愴㤸ㄳㅥ㙢攳ㄶ㌲ち㐴㠲摣㌹㙣㈲㠸㍡㤲ㅦ摣㥢㔰㜶㕣㙣㌳㤸て㙦搶愴㡢㙢捥〱攸っ㠰㐳昵〳㈲搵㌸㘱愸㔱㥣㉤ㅥ㐴㍤㥢捤昹㌸挳㐲㤲㈱敥㤶戱㔵㙥敥搲搳㥥㔵㍣㠶㘳㐳捦㙦㡦㉦㠴愴㐰㕡慡ㄵ㍦换㜸晡〴づ愴㜰搰戵っ㕦搸㑦戱㘲づ㤱敡㈴㈳昱㐶㐴㐳攲㐶搳昵㡥㔴戳㜷㑤㔵攷㝡㈸㡥㍢搶摥㙥㤹摡㌰晦㝦㥣㌹挴㉤㈵㤶愵慥慥㥣㐳搶㍣て㈰ㄸ愹攷㝡ㅡ㍡㕣㘰㠷㑦〰攸っ搸㌶㑡挹愶戱㘷㑥慥扢㡣㠹愷㕣㉥〷㉥㠷㠱㐸㌹㘲敢㐰㠹搱㤱㘲㙣摡扣〸昰㤳㥢㌷㐷昱搰〴㠳扢搵昷㌳㉣㥢㑥ㄳ㜹收㙦㄰㝣ㄲ㐰愷㥥㜹〷攱㉤ㄵ㐲㕥摢㙡㉡㘷㜷㝤㘷搹㘹搷㙥㈴㝢散㜸㐷㔹戳㙦㙣愸㔳㑥ㄶ攴㝣ㄷ敤ち㠱づ愰慤㉡㌵摢戶挰㘴㝢昲㜸㕡ㄳ㡣㕣搱攲㐶戱〸㘶㌴㈲㍤戹慥攱〵攳㕡敡㘰敡〹㘴〴〳㕣㔴㥥㤰ㅤ攵㍤㤹㜹攴户ㄶ㈶〶挲㤴㌰㕤㡡㌳㉣〸㐶挳慡っ㠰㙣㤵㐳㉤㘴捤〵〰挱㐸㔹㤳づ〵㜶㈸〲攸㡣挹㌴㙡㡦晡搰ㄲ昶挷扣ㅦ㤰㔴ㄷ㝦㜸㉡㤳挲〱㠷㍡捥搱㤵愸㜵搴ㅣ挳ㄸ搱〹㑣ち㘳㤰㜳〳㘳づ㝡㔸ㄶ搳ㄱㄷ㤱戵愹㌰ㄲ㠹㈴㤴㤱搱ㄸ㘸摦昰㕡㑥㌱㈷㔵昸㑢㤰戱つ〹㤰㘶捣〴昳攷㜱㘵愲ㄷ㘵〴㘵㙥攳愱ㄲ昶摡㤷㤹㐹ぢ捡㙢㜵摤㌴㠲戱㘴㉣㈲㙢㍡〰㍡昷攷㜷ㄶㄴ攰㥢戳㌵㤱ㅡㄵ㘳扢换㍥㔳戱㑡戸昵㌴㠳㥤㐲挸慡摤㘰ㅥ㤲搱㝥㙤㑢挴慡㈵㝣昲〹慥慣ㄱ〷昵㐴㠸搷愶㐲㡡摢摢捦愵昵㍦〶㠱敥散㉤㘴改晡㈰㕦ㅢ㙡搲收ㄵ㐲挸ㅡ攳㈸散㘳㤶〰慡㐹㜰挷扦愱㔶攷敥愴㠵㕢搵戰ㄵ攲昸㥥㜵㈳㐰㜳摦㔷攲〵挷㘶搶愳摥扢㜲昹㝡敥㝥㌶㝣㠳愰攳愵㙡扤㌸挳攵攸㌴㥥㡤ㄲ户挱㕥搳挸㈳挸〳换㍤ㄷ慥㤶攰㉤㌱㑢〹㡣㜲㌴て㔱㌳㍥摡昳戱晤㑢㌶ㅥ㑢慣㡤攵戱㐴挷摥㠶扢ぢ㙡ㄸ㕢攸ㄸ攸扦てㄲ㙤㍡㥥㉢㔸愷ち挷㌰ㄹ㔷〱昶㥥㜲ち扥ㄷ㜸㜶搸㍢〷慦扦㤷户㔹㙣散晦挶昴㉦㘰挶愶敦攴挲㤲㘵㕥㄰㕣㘶㌴㌷㝤愵散㕤㉢慢慦搱〳㕥敡㔱昸㙡㙦攷㙢戸㉢㔴改晤挰㘲㤶㑥〴〷㥢〱㐰㘷㕢㤶㔶㤸㈹㝢㍥㝡㙡㔹㥡㕤愶㉣㑤㉦㔳㌷㡤㈵㘷愱〶搸搱㤴愵㠹㈵㌵㡤㄰愰㙢㘲㍣㕦攳愷ㅢㄵ搴㘵㔰愷搴攳㔹㕣㠶㌱㤶㔱㜳ㄷ㙡敡㙦㑣㘶㘹愳㌹换晡扤㐲㜳ㄵ㐵愱っ〵敢㥦〲愰㥦挵〵〸ㅡち㌲㡦昸㉣㤰㑢㤲㈱慦ㄹ㑦〳㙣㑡〷昱ㄹ㜴㈳㉤敡㜱㜹〹㘳ㄴ㉥㥦㐱〶戸戴昰㘰捡搲㘶㌰㘵ぢ搱㔳换ㄶ攳㡣㑥挵扡愵㘲㠹㌵㌶攷ㄶぢ愲㈰㡡㐲㈶摢摢㌷㐴㕦敢㤵っ㤴戹㔲㐸㔴㐷㠶㐱愸㝦ㅡ㥦摣㕡㘷㔴〷搵㜳㈷〷愷昰㌳慦ㄳ㝣ㅡ㈰㥤愵捥㔷㡢㈵愹㑣搲挶㈴㌹㡣捦〲散〱㑤㄰昸慦㍤戶捥搲㍣愸晥摣ㅦ慢㉢㝡收㙦㌳愷づ〷愸㡡ㄴ㡢晥㉥㌲㈴ㅤ㝦搹慡㍥ㄲ㑡ㄹ愰㘶㑤㐳戱㙦㤶攲慦㘶晣㍣㌲㥤㙤㍡㌹昸戱捤〳搲㌵慣搴〷㍤㔵㜷愹敢㈸㉥㘹慤㤲㈳摡攰敢㐶昶㌷㤹㜸㜴㝢㜳ㄱ改㘴㉣晥昴〰ㄸ晦㈵收愹㈷〳㘷㝣〰㍦昳ぢ〰㠲㉣摤挹搲㐷〹㜲〴ち㤷㘵扣戲改昱扣ㅢ㌷㌴ㅥ捦㘷㈹づち㤱㝦挸㐹晥〸愰㌳㈱挸挳挴愸㜸ㄲ挳戸っ昵收㍦㐱㑤昷㜵〰挵㔵㜸搶愴㕢㠷攳挲㤱攸㤹㡡㥦搹昸戹㌷㝥摥㝤愴㥢㉣愴㘶㜸㐲㍣昸晣㤸晥昳㘷ㅢ慦㕦㕣晦改㙢敥㌳晦㠳㤱㍦扡㌸㜳昱敦㈷㡦㉣晦挱扥㔷愷摥扥㝤昸㜳㥦晡搴㕢㌷ㄷ昴㈳㠲扣戳扥晡㐹㤴愲搵换捤㔶㕦㡣ㅢㅡ㡦㤹戲㘴㌹戵晡㉦㜳㤲慦㄰摣〰㐸敢㘴慢慤扣晣㥡ぢ㤰摤攸慥摢㌴㈶ㅤ㜶㔴㑤㑥㔰㐷ち㈵愵㠹㌳搸ㄶ晢戸㠲㌸㡤㐸て㌶挳戸㐷ㅤ敢㉤㐴㠰攸挳㔵㌷㕥愶㉡㈹㌶戲㘷㝣散挴摡敤愹〰昱愴㘲ち㜷㝡㐲㕣〹㉤敦〶愷〸戶㌱㐹㠹㠱捣昰㈸㈸搱搴㉣敤㐳㜳攳㐶慤㈶㘸戶㡥㡦㙡攰㌴挱摤昴昶㕣㈲攳㐵扣㙣㉦㡣〳㙥摦慢㉢㉤㑢搵换㘸〹㤱〷昱㤵扥㝥㜳攰㥥摢攸㠶㤴搰捣㤷昰㔰㠲㈳搴㐲戰昹㌰扦捡慡摥㉡搰㜴㑡㕡攳捡攸㈵ㅣ攳㠸㠶㙢㜴ㅤㅤ㕣敥晣ぢ慦ㅣ昹摦挱㈷挶〴㠵㠹㉣㘴㝣つ㘰㕦晤㜷攱㌲昹㤲㠷戳挵㠴戸搸昴换扥㠱㈱㈶㤹㕡㤹㈹愸挶戴昹㉤㔶昵㔶㠱㈶㈸愶㙡晡㍦㐷愶㠷昷愱㝢㡢㜰慤㝣㘷愱攲晣昰敢戸㠲㤷ㄴ㜳搵戹戵敢摡晡慡晦㠲㜳愸戹㔵㤴㠱㜳晦㘵㜵㕡昵〲㑤㔰捡戹昲戵戵㔰㌴㤴㌲㌸㡤㈹愹っ㍥㡥㡡㔴挲㄰ㄴㄷ搵㜰㉡㙥ㄸ㔵つ㐲㔰㠴㔴挳㜴摣㜰ㄸㄵ收㕦〳攸㐴晢ㅤ㌳〵㌵攰㌶㕤挸㤷㌱㔴㤰愰㥣挳晣ㅢ〰ㄲ㡤㍦㐱晣昲㌳捣敦戰㐴搴慡㍥摦㡤㌳㉣〸攲㐹昵㜹㠵㈵愲㐸昵昹摢㌸挳㐲㌷搷㜳〱扦挴㡡㈸㕣㉡㕥扡昴㔶㜷戲昷摥攴㈷㡥㘴㕥昸昹㍦晦攲昹搷㝦㜳昴摦摥晥搲㤷㕥㝦攳昹㥢㙦㝦㙦㘱昴㐷㉦扤昴敡挹ㅢ㌷㝦戱挷㝥㌱昱昲㕢搳㉦㍥摤㝦攵改慢昶戹㡦ㅣ㝦晡攲㤳㘷晡㘷敦敡㙢㙢㙢㙦晦㘰捦㡦敦晥㔰昶晡搵敦㠸㝦昸搷㜷㤷㠵㕡〳㕥㘰㝥て㠰㈹㠳㕦㤶㙢㐹攲㘷㝥㥦攰敦〰愰戰搵㔲㔸㉥〱㔴㔳㤶㑢㔲㕤㝦㠰㑣㘷㥢㔰㡢㐱戶扥ㄷㄷ愵㝡晤愳敡㤵攵摢㔸敥㑣ち扥㐲ㄱ㜲㌴㈶攴㌸㉡㔲㌸㠲攵㙢㔵挳挷攳〶㘵搸晦〹戵攲〷搵愶㐷ㅢ挶㜰㝡㌵㘶愴愱㠱挳㕥挲捦晣㌱㠰㔰㠰愵摡愵㜴晣ㅦ㐲㕡摥挱</t>
  </si>
  <si>
    <t>Distance (m)</t>
  </si>
  <si>
    <t>Charge(Kg)</t>
  </si>
  <si>
    <t>PVS (mm/s)</t>
  </si>
  <si>
    <t>Data from: O. S. Hammed, O. I. Popoola, A. A. Adetoyinbo, M. O. Awoyemi, T. A. Adagunodo, O. Olubosede, and A. K. Bello, “Peak particle velocity data acquisition for monitoring blast induced earthquakes in quarry sites,” Data in Brief, vol. 19, pp. 398–408, 2018.</t>
  </si>
  <si>
    <t>PVS_USBM</t>
  </si>
  <si>
    <t>PVS_ANN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</si>
</sst>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quotePrefix="1"/>
    <xf numFmtId="0" fontId="0" fillId="0" borderId="0" xfId="0" applyAlignment="1">
      <alignment horizontal="left" vertical="top" wrapText="1"/>
    </xf>
    <xf numFmtId="2" fontId="0" fillId="0" borderId="0" xfId="0" applyNumberFormat="1"/>
    <xf numFmtId="0" fontId="2" fillId="0" borderId="0" xfId="0" applyFont="1" applyAlignment="1">
      <alignment horizontal="left" vertical="top"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50037-B6E6-4626-BF50-C9E29AFB43BD}">
  <dimension ref="A1:N201"/>
  <sheetViews>
    <sheetView tabSelected="1" workbookViewId="0">
      <selection activeCell="K10" sqref="K10"/>
    </sheetView>
  </sheetViews>
  <sheetFormatPr defaultRowHeight="14.4" x14ac:dyDescent="0.3"/>
  <cols>
    <col min="1" max="1" width="11.109375" bestFit="1" customWidth="1"/>
    <col min="2" max="2" width="9.77734375" bestFit="1" customWidth="1"/>
    <col min="3" max="3" width="10.33203125" bestFit="1" customWidth="1"/>
  </cols>
  <sheetData>
    <row r="1" spans="1:14" x14ac:dyDescent="0.3">
      <c r="A1" t="s">
        <v>23</v>
      </c>
      <c r="B1" t="s">
        <v>24</v>
      </c>
      <c r="C1" t="s">
        <v>25</v>
      </c>
      <c r="F1" s="5" t="s">
        <v>26</v>
      </c>
      <c r="G1" s="3"/>
      <c r="H1" s="3"/>
      <c r="I1" s="3"/>
      <c r="J1" s="3"/>
      <c r="K1" s="3"/>
      <c r="L1" s="3"/>
      <c r="M1" s="3"/>
      <c r="N1" s="3"/>
    </row>
    <row r="2" spans="1:14" x14ac:dyDescent="0.3">
      <c r="A2">
        <v>300</v>
      </c>
      <c r="B2">
        <v>1850</v>
      </c>
      <c r="C2">
        <v>189.46</v>
      </c>
      <c r="F2" s="3"/>
      <c r="G2" s="3"/>
      <c r="H2" s="3"/>
      <c r="I2" s="3"/>
      <c r="J2" s="3"/>
      <c r="K2" s="3"/>
      <c r="L2" s="3"/>
      <c r="M2" s="3"/>
      <c r="N2" s="3"/>
    </row>
    <row r="3" spans="1:14" x14ac:dyDescent="0.3">
      <c r="A3">
        <v>350</v>
      </c>
      <c r="B3">
        <v>1850</v>
      </c>
      <c r="C3">
        <v>149.16</v>
      </c>
      <c r="F3" s="3"/>
      <c r="G3" s="3"/>
      <c r="H3" s="3"/>
      <c r="I3" s="3"/>
      <c r="J3" s="3"/>
      <c r="K3" s="3"/>
      <c r="L3" s="3"/>
      <c r="M3" s="3"/>
      <c r="N3" s="3"/>
    </row>
    <row r="4" spans="1:14" x14ac:dyDescent="0.3">
      <c r="A4">
        <v>400</v>
      </c>
      <c r="B4">
        <v>1875</v>
      </c>
      <c r="C4">
        <v>122.17</v>
      </c>
      <c r="F4" s="3"/>
      <c r="G4" s="3"/>
      <c r="H4" s="3"/>
      <c r="I4" s="3"/>
      <c r="J4" s="3"/>
      <c r="K4" s="3"/>
      <c r="L4" s="3"/>
      <c r="M4" s="3"/>
      <c r="N4" s="3"/>
    </row>
    <row r="5" spans="1:14" x14ac:dyDescent="0.3">
      <c r="A5">
        <v>450</v>
      </c>
      <c r="B5">
        <v>1950</v>
      </c>
      <c r="C5">
        <v>104.3</v>
      </c>
      <c r="F5" s="3"/>
      <c r="G5" s="3"/>
      <c r="H5" s="3"/>
      <c r="I5" s="3"/>
      <c r="J5" s="3"/>
      <c r="K5" s="3"/>
      <c r="L5" s="3"/>
      <c r="M5" s="3"/>
      <c r="N5" s="3"/>
    </row>
    <row r="6" spans="1:14" x14ac:dyDescent="0.3">
      <c r="A6">
        <v>500</v>
      </c>
      <c r="B6">
        <v>1950</v>
      </c>
      <c r="C6">
        <v>87.1</v>
      </c>
    </row>
    <row r="7" spans="1:14" x14ac:dyDescent="0.3">
      <c r="A7">
        <v>550</v>
      </c>
      <c r="B7">
        <v>1950</v>
      </c>
      <c r="C7">
        <v>75.459999999999994</v>
      </c>
    </row>
    <row r="8" spans="1:14" x14ac:dyDescent="0.3">
      <c r="A8">
        <v>600</v>
      </c>
      <c r="B8">
        <v>1950</v>
      </c>
      <c r="C8">
        <v>68.680000000000007</v>
      </c>
    </row>
    <row r="9" spans="1:14" x14ac:dyDescent="0.3">
      <c r="A9">
        <v>650</v>
      </c>
      <c r="B9">
        <v>1875</v>
      </c>
      <c r="C9">
        <v>56.32</v>
      </c>
    </row>
    <row r="10" spans="1:14" x14ac:dyDescent="0.3">
      <c r="A10">
        <v>700</v>
      </c>
      <c r="B10">
        <v>1875</v>
      </c>
      <c r="C10">
        <v>48.74</v>
      </c>
      <c r="K10" s="6"/>
    </row>
    <row r="11" spans="1:14" x14ac:dyDescent="0.3">
      <c r="A11">
        <v>750</v>
      </c>
      <c r="B11">
        <v>1875</v>
      </c>
      <c r="C11">
        <v>43.62</v>
      </c>
    </row>
    <row r="12" spans="1:14" x14ac:dyDescent="0.3">
      <c r="A12">
        <v>800</v>
      </c>
      <c r="B12">
        <v>1912.5</v>
      </c>
      <c r="C12">
        <v>40.479999999999997</v>
      </c>
    </row>
    <row r="13" spans="1:14" x14ac:dyDescent="0.3">
      <c r="A13">
        <v>850</v>
      </c>
      <c r="B13">
        <v>1912.5</v>
      </c>
      <c r="C13">
        <v>36.69</v>
      </c>
    </row>
    <row r="14" spans="1:14" x14ac:dyDescent="0.3">
      <c r="A14">
        <v>900</v>
      </c>
      <c r="B14">
        <v>1912.5</v>
      </c>
      <c r="C14">
        <v>33.81</v>
      </c>
    </row>
    <row r="15" spans="1:14" x14ac:dyDescent="0.3">
      <c r="A15">
        <v>950</v>
      </c>
      <c r="B15">
        <v>1900</v>
      </c>
      <c r="C15">
        <v>31.23</v>
      </c>
    </row>
    <row r="16" spans="1:14" x14ac:dyDescent="0.3">
      <c r="A16">
        <v>1000</v>
      </c>
      <c r="B16">
        <v>1875</v>
      </c>
      <c r="C16">
        <v>28.21</v>
      </c>
    </row>
    <row r="17" spans="1:3" x14ac:dyDescent="0.3">
      <c r="A17">
        <v>1050</v>
      </c>
      <c r="B17">
        <v>2950</v>
      </c>
      <c r="C17">
        <v>36.700000000000003</v>
      </c>
    </row>
    <row r="18" spans="1:3" x14ac:dyDescent="0.3">
      <c r="A18">
        <v>1100</v>
      </c>
      <c r="B18">
        <v>1800</v>
      </c>
      <c r="C18">
        <v>22.98</v>
      </c>
    </row>
    <row r="19" spans="1:3" x14ac:dyDescent="0.3">
      <c r="A19">
        <v>1150</v>
      </c>
      <c r="B19">
        <v>2750</v>
      </c>
      <c r="C19">
        <v>30.99</v>
      </c>
    </row>
    <row r="20" spans="1:3" x14ac:dyDescent="0.3">
      <c r="A20">
        <v>1200</v>
      </c>
      <c r="B20">
        <v>2150</v>
      </c>
      <c r="C20">
        <v>23.42</v>
      </c>
    </row>
    <row r="21" spans="1:3" x14ac:dyDescent="0.3">
      <c r="A21">
        <v>1250</v>
      </c>
      <c r="B21">
        <v>2050</v>
      </c>
      <c r="C21">
        <v>21.08</v>
      </c>
    </row>
    <row r="22" spans="1:3" x14ac:dyDescent="0.3">
      <c r="A22">
        <v>300</v>
      </c>
      <c r="B22">
        <v>1450</v>
      </c>
      <c r="C22">
        <v>156.94999999999999</v>
      </c>
    </row>
    <row r="23" spans="1:3" x14ac:dyDescent="0.3">
      <c r="A23">
        <v>350</v>
      </c>
      <c r="B23">
        <v>1450</v>
      </c>
      <c r="C23">
        <v>100.94</v>
      </c>
    </row>
    <row r="24" spans="1:3" x14ac:dyDescent="0.3">
      <c r="A24">
        <v>400</v>
      </c>
      <c r="B24">
        <v>1400</v>
      </c>
      <c r="C24">
        <v>96.18</v>
      </c>
    </row>
    <row r="25" spans="1:3" x14ac:dyDescent="0.3">
      <c r="A25">
        <v>450</v>
      </c>
      <c r="B25">
        <v>1450</v>
      </c>
      <c r="C25">
        <v>82.13</v>
      </c>
    </row>
    <row r="26" spans="1:3" x14ac:dyDescent="0.3">
      <c r="A26">
        <v>500</v>
      </c>
      <c r="B26">
        <v>1400</v>
      </c>
      <c r="C26">
        <v>67.64</v>
      </c>
    </row>
    <row r="27" spans="1:3" x14ac:dyDescent="0.3">
      <c r="A27">
        <v>550</v>
      </c>
      <c r="B27">
        <v>1500</v>
      </c>
      <c r="C27">
        <v>60.63</v>
      </c>
    </row>
    <row r="28" spans="1:3" x14ac:dyDescent="0.3">
      <c r="A28">
        <v>600</v>
      </c>
      <c r="B28">
        <v>1200</v>
      </c>
      <c r="C28">
        <v>45.63</v>
      </c>
    </row>
    <row r="29" spans="1:3" x14ac:dyDescent="0.3">
      <c r="A29">
        <v>650</v>
      </c>
      <c r="B29">
        <v>1850</v>
      </c>
      <c r="C29">
        <v>55.48</v>
      </c>
    </row>
    <row r="30" spans="1:3" x14ac:dyDescent="0.3">
      <c r="A30">
        <v>700</v>
      </c>
      <c r="B30">
        <v>1850</v>
      </c>
      <c r="C30">
        <v>49.19</v>
      </c>
    </row>
    <row r="31" spans="1:3" x14ac:dyDescent="0.3">
      <c r="A31">
        <v>750</v>
      </c>
      <c r="B31">
        <v>950</v>
      </c>
      <c r="C31">
        <v>25.81</v>
      </c>
    </row>
    <row r="32" spans="1:3" x14ac:dyDescent="0.3">
      <c r="A32">
        <v>800</v>
      </c>
      <c r="B32">
        <v>1350</v>
      </c>
      <c r="C32">
        <v>30.8</v>
      </c>
    </row>
    <row r="33" spans="1:3" x14ac:dyDescent="0.3">
      <c r="A33">
        <v>850</v>
      </c>
      <c r="B33">
        <v>1250</v>
      </c>
      <c r="C33">
        <v>26.33</v>
      </c>
    </row>
    <row r="34" spans="1:3" x14ac:dyDescent="0.3">
      <c r="A34">
        <v>900</v>
      </c>
      <c r="B34">
        <v>1250</v>
      </c>
      <c r="C34">
        <v>23.51</v>
      </c>
    </row>
    <row r="35" spans="1:3" x14ac:dyDescent="0.3">
      <c r="A35">
        <v>950</v>
      </c>
      <c r="B35">
        <v>1500</v>
      </c>
      <c r="C35">
        <v>25.32</v>
      </c>
    </row>
    <row r="36" spans="1:3" x14ac:dyDescent="0.3">
      <c r="A36">
        <v>1000</v>
      </c>
      <c r="B36">
        <v>1500</v>
      </c>
      <c r="C36">
        <v>23.3</v>
      </c>
    </row>
    <row r="37" spans="1:3" x14ac:dyDescent="0.3">
      <c r="A37">
        <v>1050</v>
      </c>
      <c r="B37">
        <v>1750</v>
      </c>
      <c r="C37">
        <v>24.39</v>
      </c>
    </row>
    <row r="38" spans="1:3" x14ac:dyDescent="0.3">
      <c r="A38">
        <v>1100</v>
      </c>
      <c r="B38">
        <v>2350</v>
      </c>
      <c r="C38">
        <v>28.32</v>
      </c>
    </row>
    <row r="39" spans="1:3" x14ac:dyDescent="0.3">
      <c r="A39">
        <v>1150</v>
      </c>
      <c r="B39">
        <v>1350</v>
      </c>
      <c r="C39">
        <v>17.260000000000002</v>
      </c>
    </row>
    <row r="40" spans="1:3" x14ac:dyDescent="0.3">
      <c r="A40">
        <v>1200</v>
      </c>
      <c r="B40">
        <v>1450</v>
      </c>
      <c r="C40">
        <v>16.75</v>
      </c>
    </row>
    <row r="41" spans="1:3" x14ac:dyDescent="0.3">
      <c r="A41">
        <v>1250</v>
      </c>
      <c r="B41">
        <v>2755</v>
      </c>
      <c r="C41">
        <v>26.36</v>
      </c>
    </row>
    <row r="42" spans="1:3" x14ac:dyDescent="0.3">
      <c r="A42">
        <v>300</v>
      </c>
      <c r="B42">
        <v>1650</v>
      </c>
      <c r="C42">
        <v>174.16</v>
      </c>
    </row>
    <row r="43" spans="1:3" x14ac:dyDescent="0.3">
      <c r="A43">
        <v>350</v>
      </c>
      <c r="B43">
        <v>1550</v>
      </c>
      <c r="C43">
        <v>128.35</v>
      </c>
    </row>
    <row r="44" spans="1:3" x14ac:dyDescent="0.3">
      <c r="A44">
        <v>400</v>
      </c>
      <c r="B44">
        <v>1355</v>
      </c>
      <c r="C44">
        <v>94.17</v>
      </c>
    </row>
    <row r="45" spans="1:3" x14ac:dyDescent="0.3">
      <c r="A45">
        <v>450</v>
      </c>
      <c r="B45">
        <v>1555</v>
      </c>
      <c r="C45">
        <v>86.63</v>
      </c>
    </row>
    <row r="46" spans="1:3" x14ac:dyDescent="0.3">
      <c r="A46">
        <v>500</v>
      </c>
      <c r="B46">
        <v>1850</v>
      </c>
      <c r="C46">
        <v>83.8</v>
      </c>
    </row>
    <row r="47" spans="1:3" x14ac:dyDescent="0.3">
      <c r="A47">
        <v>550</v>
      </c>
      <c r="B47">
        <v>1900</v>
      </c>
      <c r="C47">
        <v>62.24</v>
      </c>
    </row>
    <row r="48" spans="1:3" x14ac:dyDescent="0.3">
      <c r="A48">
        <v>600</v>
      </c>
      <c r="B48">
        <v>1400</v>
      </c>
      <c r="C48">
        <v>50.67</v>
      </c>
    </row>
    <row r="49" spans="1:3" x14ac:dyDescent="0.3">
      <c r="A49">
        <v>650</v>
      </c>
      <c r="B49">
        <v>1100</v>
      </c>
      <c r="C49">
        <v>36.17</v>
      </c>
    </row>
    <row r="50" spans="1:3" x14ac:dyDescent="0.3">
      <c r="A50">
        <v>700</v>
      </c>
      <c r="B50">
        <v>1250</v>
      </c>
      <c r="C50">
        <v>34.770000000000003</v>
      </c>
    </row>
    <row r="51" spans="1:3" x14ac:dyDescent="0.3">
      <c r="A51">
        <v>750</v>
      </c>
      <c r="B51">
        <v>1500</v>
      </c>
      <c r="C51">
        <v>36.409999999999997</v>
      </c>
    </row>
    <row r="52" spans="1:3" x14ac:dyDescent="0.3">
      <c r="A52">
        <v>800</v>
      </c>
      <c r="B52">
        <v>1800</v>
      </c>
      <c r="C52">
        <v>38.42</v>
      </c>
    </row>
    <row r="53" spans="1:3" x14ac:dyDescent="0.3">
      <c r="A53">
        <v>850</v>
      </c>
      <c r="B53">
        <v>1950</v>
      </c>
      <c r="C53">
        <v>36.85</v>
      </c>
    </row>
    <row r="54" spans="1:3" x14ac:dyDescent="0.3">
      <c r="A54">
        <v>900</v>
      </c>
      <c r="B54">
        <v>1250</v>
      </c>
      <c r="C54">
        <v>23.42</v>
      </c>
    </row>
    <row r="55" spans="1:3" x14ac:dyDescent="0.3">
      <c r="A55">
        <v>950</v>
      </c>
      <c r="B55">
        <v>1250</v>
      </c>
      <c r="C55">
        <v>21.25</v>
      </c>
    </row>
    <row r="56" spans="1:3" x14ac:dyDescent="0.3">
      <c r="A56">
        <v>1000</v>
      </c>
      <c r="B56">
        <v>1200</v>
      </c>
      <c r="C56">
        <v>18.62</v>
      </c>
    </row>
    <row r="57" spans="1:3" x14ac:dyDescent="0.3">
      <c r="A57">
        <v>1050</v>
      </c>
      <c r="B57">
        <v>1950</v>
      </c>
      <c r="C57">
        <v>26.58</v>
      </c>
    </row>
    <row r="58" spans="1:3" x14ac:dyDescent="0.3">
      <c r="A58">
        <v>1100</v>
      </c>
      <c r="B58">
        <v>1800</v>
      </c>
      <c r="C58">
        <v>22.73</v>
      </c>
    </row>
    <row r="59" spans="1:3" x14ac:dyDescent="0.3">
      <c r="A59">
        <v>1150</v>
      </c>
      <c r="B59">
        <v>1800</v>
      </c>
      <c r="C59">
        <v>21.17</v>
      </c>
    </row>
    <row r="60" spans="1:3" x14ac:dyDescent="0.3">
      <c r="A60">
        <v>1200</v>
      </c>
      <c r="B60">
        <v>1800</v>
      </c>
      <c r="C60">
        <v>19.440000000000001</v>
      </c>
    </row>
    <row r="61" spans="1:3" x14ac:dyDescent="0.3">
      <c r="A61">
        <v>1250</v>
      </c>
      <c r="B61">
        <v>1950</v>
      </c>
      <c r="C61">
        <v>18.829999999999998</v>
      </c>
    </row>
    <row r="62" spans="1:3" x14ac:dyDescent="0.3">
      <c r="A62">
        <v>300</v>
      </c>
      <c r="B62">
        <v>1600</v>
      </c>
      <c r="C62">
        <v>191.01</v>
      </c>
    </row>
    <row r="63" spans="1:3" x14ac:dyDescent="0.3">
      <c r="A63">
        <v>350</v>
      </c>
      <c r="B63">
        <v>1450</v>
      </c>
      <c r="C63">
        <v>142.44</v>
      </c>
    </row>
    <row r="64" spans="1:3" x14ac:dyDescent="0.3">
      <c r="A64">
        <v>400</v>
      </c>
      <c r="B64">
        <v>1850</v>
      </c>
      <c r="C64">
        <v>140</v>
      </c>
    </row>
    <row r="65" spans="1:3" x14ac:dyDescent="0.3">
      <c r="A65">
        <v>450</v>
      </c>
      <c r="B65">
        <v>1700</v>
      </c>
      <c r="C65">
        <v>111.06</v>
      </c>
    </row>
    <row r="66" spans="1:3" x14ac:dyDescent="0.3">
      <c r="A66">
        <v>500</v>
      </c>
      <c r="B66">
        <v>1300</v>
      </c>
      <c r="C66">
        <v>78.290000000000006</v>
      </c>
    </row>
    <row r="67" spans="1:3" x14ac:dyDescent="0.3">
      <c r="A67">
        <v>550</v>
      </c>
      <c r="B67">
        <v>1750</v>
      </c>
      <c r="C67">
        <v>84.74</v>
      </c>
    </row>
    <row r="68" spans="1:3" x14ac:dyDescent="0.3">
      <c r="A68">
        <v>600</v>
      </c>
      <c r="B68">
        <v>1950</v>
      </c>
      <c r="C68">
        <v>80.790000000000006</v>
      </c>
    </row>
    <row r="69" spans="1:3" x14ac:dyDescent="0.3">
      <c r="A69">
        <v>650</v>
      </c>
      <c r="B69">
        <v>1800</v>
      </c>
      <c r="C69">
        <v>68.040000000000006</v>
      </c>
    </row>
    <row r="70" spans="1:3" x14ac:dyDescent="0.3">
      <c r="A70">
        <v>700</v>
      </c>
      <c r="B70">
        <v>1200</v>
      </c>
      <c r="C70">
        <v>45.44</v>
      </c>
    </row>
    <row r="71" spans="1:3" x14ac:dyDescent="0.3">
      <c r="A71">
        <v>750</v>
      </c>
      <c r="B71">
        <v>1150</v>
      </c>
      <c r="C71">
        <v>39.85</v>
      </c>
    </row>
    <row r="72" spans="1:3" x14ac:dyDescent="0.3">
      <c r="A72">
        <v>800</v>
      </c>
      <c r="B72">
        <v>1650</v>
      </c>
      <c r="C72">
        <v>47.11</v>
      </c>
    </row>
    <row r="73" spans="1:3" x14ac:dyDescent="0.3">
      <c r="A73">
        <v>850</v>
      </c>
      <c r="B73">
        <v>1050</v>
      </c>
      <c r="C73">
        <v>30.65</v>
      </c>
    </row>
    <row r="74" spans="1:3" x14ac:dyDescent="0.3">
      <c r="A74">
        <v>900</v>
      </c>
      <c r="B74">
        <v>1850</v>
      </c>
      <c r="C74">
        <v>42.93</v>
      </c>
    </row>
    <row r="75" spans="1:3" x14ac:dyDescent="0.3">
      <c r="A75">
        <v>950</v>
      </c>
      <c r="B75">
        <v>1300</v>
      </c>
      <c r="C75">
        <v>28.87</v>
      </c>
    </row>
    <row r="76" spans="1:3" x14ac:dyDescent="0.3">
      <c r="A76">
        <v>1000</v>
      </c>
      <c r="B76">
        <v>1950</v>
      </c>
      <c r="C76">
        <v>38.369999999999997</v>
      </c>
    </row>
    <row r="77" spans="1:3" x14ac:dyDescent="0.3">
      <c r="A77">
        <v>1050</v>
      </c>
      <c r="B77">
        <v>1100</v>
      </c>
      <c r="C77">
        <v>23.55</v>
      </c>
    </row>
    <row r="78" spans="1:3" x14ac:dyDescent="0.3">
      <c r="A78">
        <v>1100</v>
      </c>
      <c r="B78">
        <v>1250</v>
      </c>
      <c r="C78">
        <v>24.15</v>
      </c>
    </row>
    <row r="79" spans="1:3" x14ac:dyDescent="0.3">
      <c r="A79">
        <v>1150</v>
      </c>
      <c r="B79">
        <v>1350</v>
      </c>
      <c r="C79">
        <v>23.8</v>
      </c>
    </row>
    <row r="80" spans="1:3" x14ac:dyDescent="0.3">
      <c r="A80">
        <v>1200</v>
      </c>
      <c r="B80">
        <v>1500</v>
      </c>
      <c r="C80">
        <v>24.29</v>
      </c>
    </row>
    <row r="81" spans="1:3" x14ac:dyDescent="0.3">
      <c r="A81">
        <v>1250</v>
      </c>
      <c r="B81">
        <v>1750</v>
      </c>
      <c r="C81">
        <v>25.74</v>
      </c>
    </row>
    <row r="82" spans="1:3" x14ac:dyDescent="0.3">
      <c r="A82">
        <v>300</v>
      </c>
      <c r="B82">
        <v>1500</v>
      </c>
      <c r="C82">
        <v>182.33</v>
      </c>
    </row>
    <row r="83" spans="1:3" x14ac:dyDescent="0.3">
      <c r="A83">
        <v>350</v>
      </c>
      <c r="B83">
        <v>1950</v>
      </c>
      <c r="C83">
        <v>175.74</v>
      </c>
    </row>
    <row r="84" spans="1:3" x14ac:dyDescent="0.3">
      <c r="A84">
        <v>400</v>
      </c>
      <c r="B84">
        <v>1850</v>
      </c>
      <c r="C84">
        <v>129.44999999999999</v>
      </c>
    </row>
    <row r="85" spans="1:3" x14ac:dyDescent="0.3">
      <c r="A85">
        <v>450</v>
      </c>
      <c r="B85">
        <v>1100</v>
      </c>
      <c r="C85">
        <v>69.715000000000003</v>
      </c>
    </row>
    <row r="86" spans="1:3" x14ac:dyDescent="0.3">
      <c r="A86">
        <v>500</v>
      </c>
      <c r="B86">
        <v>1050</v>
      </c>
      <c r="C86">
        <v>55.67</v>
      </c>
    </row>
    <row r="87" spans="1:3" x14ac:dyDescent="0.3">
      <c r="A87">
        <v>550</v>
      </c>
      <c r="B87">
        <v>1750</v>
      </c>
      <c r="C87">
        <v>73.31</v>
      </c>
    </row>
    <row r="88" spans="1:3" x14ac:dyDescent="0.3">
      <c r="A88">
        <v>600</v>
      </c>
      <c r="B88">
        <v>1200</v>
      </c>
      <c r="C88">
        <v>45.77</v>
      </c>
    </row>
    <row r="89" spans="1:3" x14ac:dyDescent="0.3">
      <c r="A89">
        <v>650</v>
      </c>
      <c r="B89">
        <v>1400</v>
      </c>
      <c r="C89">
        <v>45.6</v>
      </c>
    </row>
    <row r="90" spans="1:3" x14ac:dyDescent="0.3">
      <c r="A90">
        <v>700</v>
      </c>
      <c r="B90">
        <v>1700</v>
      </c>
      <c r="C90">
        <v>47.42</v>
      </c>
    </row>
    <row r="91" spans="1:3" x14ac:dyDescent="0.3">
      <c r="A91">
        <v>750</v>
      </c>
      <c r="B91">
        <v>1350</v>
      </c>
      <c r="C91">
        <v>34.380000000000003</v>
      </c>
    </row>
    <row r="92" spans="1:3" x14ac:dyDescent="0.3">
      <c r="A92">
        <v>800</v>
      </c>
      <c r="B92">
        <v>1800</v>
      </c>
      <c r="C92">
        <v>39.54</v>
      </c>
    </row>
    <row r="93" spans="1:3" x14ac:dyDescent="0.3">
      <c r="A93">
        <v>850</v>
      </c>
      <c r="B93">
        <v>1300</v>
      </c>
      <c r="C93">
        <v>26.87</v>
      </c>
    </row>
    <row r="94" spans="1:3" x14ac:dyDescent="0.3">
      <c r="A94">
        <v>900</v>
      </c>
      <c r="B94">
        <v>1550</v>
      </c>
      <c r="C94">
        <v>28.39</v>
      </c>
    </row>
    <row r="95" spans="1:3" x14ac:dyDescent="0.3">
      <c r="A95">
        <v>950</v>
      </c>
      <c r="B95">
        <v>1200</v>
      </c>
      <c r="C95">
        <v>20.83</v>
      </c>
    </row>
    <row r="96" spans="1:3" x14ac:dyDescent="0.3">
      <c r="A96">
        <v>1000</v>
      </c>
      <c r="B96">
        <v>1950</v>
      </c>
      <c r="C96">
        <v>28.85</v>
      </c>
    </row>
    <row r="97" spans="1:3" x14ac:dyDescent="0.3">
      <c r="A97">
        <v>1050</v>
      </c>
      <c r="B97">
        <v>1900</v>
      </c>
      <c r="C97">
        <v>26.02</v>
      </c>
    </row>
    <row r="98" spans="1:3" x14ac:dyDescent="0.3">
      <c r="A98">
        <v>1100</v>
      </c>
      <c r="B98">
        <v>1100</v>
      </c>
      <c r="C98">
        <v>13.94</v>
      </c>
    </row>
    <row r="99" spans="1:3" x14ac:dyDescent="0.3">
      <c r="A99">
        <v>1150</v>
      </c>
      <c r="B99">
        <v>1400</v>
      </c>
      <c r="C99">
        <v>15.36</v>
      </c>
    </row>
    <row r="100" spans="1:3" x14ac:dyDescent="0.3">
      <c r="A100">
        <v>1200</v>
      </c>
      <c r="B100">
        <v>1550</v>
      </c>
      <c r="C100">
        <v>17.399999999999999</v>
      </c>
    </row>
    <row r="101" spans="1:3" x14ac:dyDescent="0.3">
      <c r="A101">
        <v>1250</v>
      </c>
      <c r="B101">
        <v>1650</v>
      </c>
      <c r="C101">
        <v>15.01</v>
      </c>
    </row>
    <row r="102" spans="1:3" x14ac:dyDescent="0.3">
      <c r="A102">
        <v>300</v>
      </c>
      <c r="B102">
        <v>1400</v>
      </c>
      <c r="C102">
        <v>198.71</v>
      </c>
    </row>
    <row r="103" spans="1:3" x14ac:dyDescent="0.3">
      <c r="A103">
        <v>350</v>
      </c>
      <c r="B103">
        <v>1250</v>
      </c>
      <c r="C103">
        <v>146.44</v>
      </c>
    </row>
    <row r="104" spans="1:3" x14ac:dyDescent="0.3">
      <c r="A104">
        <v>400</v>
      </c>
      <c r="B104">
        <v>1600</v>
      </c>
      <c r="C104">
        <v>144.37</v>
      </c>
    </row>
    <row r="105" spans="1:3" x14ac:dyDescent="0.3">
      <c r="A105">
        <v>450</v>
      </c>
      <c r="B105">
        <v>1150</v>
      </c>
      <c r="C105">
        <v>96.67</v>
      </c>
    </row>
    <row r="106" spans="1:3" x14ac:dyDescent="0.3">
      <c r="A106">
        <v>500</v>
      </c>
      <c r="B106">
        <v>1000</v>
      </c>
      <c r="C106">
        <v>75.27</v>
      </c>
    </row>
    <row r="107" spans="1:3" x14ac:dyDescent="0.3">
      <c r="A107">
        <v>550</v>
      </c>
      <c r="B107">
        <v>2050</v>
      </c>
      <c r="C107">
        <v>109.62</v>
      </c>
    </row>
    <row r="108" spans="1:3" x14ac:dyDescent="0.3">
      <c r="A108">
        <v>600</v>
      </c>
      <c r="B108">
        <v>1350</v>
      </c>
      <c r="C108">
        <v>71.75</v>
      </c>
    </row>
    <row r="109" spans="1:3" x14ac:dyDescent="0.3">
      <c r="A109">
        <v>650</v>
      </c>
      <c r="B109">
        <v>1250</v>
      </c>
      <c r="C109">
        <v>60.52</v>
      </c>
    </row>
    <row r="110" spans="1:3" x14ac:dyDescent="0.3">
      <c r="A110">
        <v>700</v>
      </c>
      <c r="B110">
        <v>1650</v>
      </c>
      <c r="C110">
        <v>64.28</v>
      </c>
    </row>
    <row r="111" spans="1:3" x14ac:dyDescent="0.3">
      <c r="A111">
        <v>750</v>
      </c>
      <c r="B111">
        <v>1250</v>
      </c>
      <c r="C111">
        <v>49.38</v>
      </c>
    </row>
    <row r="112" spans="1:3" x14ac:dyDescent="0.3">
      <c r="A112">
        <v>800</v>
      </c>
      <c r="B112">
        <v>1900</v>
      </c>
      <c r="C112">
        <v>60.73</v>
      </c>
    </row>
    <row r="113" spans="1:3" x14ac:dyDescent="0.3">
      <c r="A113">
        <v>850</v>
      </c>
      <c r="B113">
        <v>1350</v>
      </c>
      <c r="C113">
        <v>43.65</v>
      </c>
    </row>
    <row r="114" spans="1:3" x14ac:dyDescent="0.3">
      <c r="A114">
        <v>900</v>
      </c>
      <c r="B114">
        <v>1300</v>
      </c>
      <c r="C114">
        <v>39.159999999999997</v>
      </c>
    </row>
    <row r="115" spans="1:3" x14ac:dyDescent="0.3">
      <c r="A115">
        <v>950</v>
      </c>
      <c r="B115">
        <v>1700</v>
      </c>
      <c r="C115">
        <v>43.85</v>
      </c>
    </row>
    <row r="116" spans="1:3" x14ac:dyDescent="0.3">
      <c r="A116">
        <v>1000</v>
      </c>
      <c r="B116">
        <v>1550</v>
      </c>
      <c r="C116">
        <v>38.26</v>
      </c>
    </row>
    <row r="117" spans="1:3" x14ac:dyDescent="0.3">
      <c r="A117">
        <v>1050</v>
      </c>
      <c r="B117">
        <v>1650</v>
      </c>
      <c r="C117">
        <v>37.24</v>
      </c>
    </row>
    <row r="118" spans="1:3" x14ac:dyDescent="0.3">
      <c r="A118">
        <v>1100</v>
      </c>
      <c r="B118">
        <v>1500</v>
      </c>
      <c r="C118">
        <v>32.49</v>
      </c>
    </row>
    <row r="119" spans="1:3" x14ac:dyDescent="0.3">
      <c r="A119">
        <v>1150</v>
      </c>
      <c r="B119">
        <v>1250</v>
      </c>
      <c r="C119">
        <v>26.73</v>
      </c>
    </row>
    <row r="120" spans="1:3" x14ac:dyDescent="0.3">
      <c r="A120">
        <v>1200</v>
      </c>
      <c r="B120">
        <v>1450</v>
      </c>
      <c r="C120">
        <v>27.95</v>
      </c>
    </row>
    <row r="121" spans="1:3" x14ac:dyDescent="0.3">
      <c r="A121">
        <v>1250</v>
      </c>
      <c r="B121">
        <v>1750</v>
      </c>
      <c r="C121">
        <v>30.26</v>
      </c>
    </row>
    <row r="122" spans="1:3" x14ac:dyDescent="0.3">
      <c r="A122">
        <v>300</v>
      </c>
      <c r="B122">
        <v>1050</v>
      </c>
      <c r="C122">
        <v>247.53</v>
      </c>
    </row>
    <row r="123" spans="1:3" x14ac:dyDescent="0.3">
      <c r="A123">
        <v>350</v>
      </c>
      <c r="B123">
        <v>1150</v>
      </c>
      <c r="C123">
        <v>217.74199999999999</v>
      </c>
    </row>
    <row r="124" spans="1:3" x14ac:dyDescent="0.3">
      <c r="A124">
        <v>400</v>
      </c>
      <c r="B124">
        <v>1250</v>
      </c>
      <c r="C124">
        <v>195.31</v>
      </c>
    </row>
    <row r="125" spans="1:3" x14ac:dyDescent="0.3">
      <c r="A125">
        <v>450</v>
      </c>
      <c r="B125">
        <v>1400</v>
      </c>
      <c r="C125">
        <v>181.15</v>
      </c>
    </row>
    <row r="126" spans="1:3" x14ac:dyDescent="0.3">
      <c r="A126">
        <v>500</v>
      </c>
      <c r="B126">
        <v>1450</v>
      </c>
      <c r="C126">
        <v>163.81</v>
      </c>
    </row>
    <row r="127" spans="1:3" x14ac:dyDescent="0.3">
      <c r="A127">
        <v>550</v>
      </c>
      <c r="B127">
        <v>1300</v>
      </c>
      <c r="C127">
        <v>137.41</v>
      </c>
    </row>
    <row r="128" spans="1:3" x14ac:dyDescent="0.3">
      <c r="A128">
        <v>600</v>
      </c>
      <c r="B128">
        <v>1450</v>
      </c>
      <c r="C128">
        <v>131.94</v>
      </c>
    </row>
    <row r="129" spans="1:3" x14ac:dyDescent="0.3">
      <c r="A129">
        <v>650</v>
      </c>
      <c r="B129">
        <v>1350</v>
      </c>
      <c r="C129">
        <v>115.29</v>
      </c>
    </row>
    <row r="130" spans="1:3" x14ac:dyDescent="0.3">
      <c r="A130">
        <v>700</v>
      </c>
      <c r="B130">
        <v>1650</v>
      </c>
      <c r="C130">
        <v>118.47</v>
      </c>
    </row>
    <row r="131" spans="1:3" x14ac:dyDescent="0.3">
      <c r="A131">
        <v>750</v>
      </c>
      <c r="B131">
        <v>1500</v>
      </c>
      <c r="C131">
        <v>103.57</v>
      </c>
    </row>
    <row r="132" spans="1:3" x14ac:dyDescent="0.3">
      <c r="A132">
        <v>800</v>
      </c>
      <c r="B132">
        <v>1100</v>
      </c>
      <c r="C132">
        <v>79.86</v>
      </c>
    </row>
    <row r="133" spans="1:3" x14ac:dyDescent="0.3">
      <c r="A133">
        <v>850</v>
      </c>
      <c r="B133">
        <v>1000</v>
      </c>
      <c r="C133">
        <v>70.28</v>
      </c>
    </row>
    <row r="134" spans="1:3" x14ac:dyDescent="0.3">
      <c r="A134">
        <v>900</v>
      </c>
      <c r="B134">
        <v>1300</v>
      </c>
      <c r="C134">
        <v>76.87</v>
      </c>
    </row>
    <row r="135" spans="1:3" x14ac:dyDescent="0.3">
      <c r="A135">
        <v>950</v>
      </c>
      <c r="B135">
        <v>1200</v>
      </c>
      <c r="C135">
        <v>68.66</v>
      </c>
    </row>
    <row r="136" spans="1:3" x14ac:dyDescent="0.3">
      <c r="A136">
        <v>1000</v>
      </c>
      <c r="B136">
        <v>1700</v>
      </c>
      <c r="C136">
        <v>79.37</v>
      </c>
    </row>
    <row r="137" spans="1:3" x14ac:dyDescent="0.3">
      <c r="A137">
        <v>1050</v>
      </c>
      <c r="B137">
        <v>1600</v>
      </c>
      <c r="C137">
        <v>72.260000000000005</v>
      </c>
    </row>
    <row r="138" spans="1:3" x14ac:dyDescent="0.3">
      <c r="A138">
        <v>1100</v>
      </c>
      <c r="B138">
        <v>1100</v>
      </c>
      <c r="C138">
        <v>54.88</v>
      </c>
    </row>
    <row r="139" spans="1:3" x14ac:dyDescent="0.3">
      <c r="A139">
        <v>1150</v>
      </c>
      <c r="B139">
        <v>1050</v>
      </c>
      <c r="C139">
        <v>50.59</v>
      </c>
    </row>
    <row r="140" spans="1:3" x14ac:dyDescent="0.3">
      <c r="A140">
        <v>1200</v>
      </c>
      <c r="B140">
        <v>1350</v>
      </c>
      <c r="C140">
        <v>55.9</v>
      </c>
    </row>
    <row r="141" spans="1:3" x14ac:dyDescent="0.3">
      <c r="A141">
        <v>1250</v>
      </c>
      <c r="B141">
        <v>1250</v>
      </c>
      <c r="C141">
        <v>50.84</v>
      </c>
    </row>
    <row r="142" spans="1:3" x14ac:dyDescent="0.3">
      <c r="A142">
        <v>300</v>
      </c>
      <c r="B142">
        <v>1550</v>
      </c>
      <c r="C142">
        <v>138.28</v>
      </c>
    </row>
    <row r="143" spans="1:3" x14ac:dyDescent="0.3">
      <c r="A143">
        <v>350</v>
      </c>
      <c r="B143">
        <v>1600</v>
      </c>
      <c r="C143">
        <v>105.96</v>
      </c>
    </row>
    <row r="144" spans="1:3" x14ac:dyDescent="0.3">
      <c r="A144">
        <v>400</v>
      </c>
      <c r="B144">
        <v>1650</v>
      </c>
      <c r="C144">
        <v>84.19</v>
      </c>
    </row>
    <row r="145" spans="1:3" x14ac:dyDescent="0.3">
      <c r="A145">
        <v>450</v>
      </c>
      <c r="B145">
        <v>1450</v>
      </c>
      <c r="C145">
        <v>59.22</v>
      </c>
    </row>
    <row r="146" spans="1:3" x14ac:dyDescent="0.3">
      <c r="A146">
        <v>500</v>
      </c>
      <c r="B146">
        <v>1950</v>
      </c>
      <c r="C146">
        <v>64.510000000000005</v>
      </c>
    </row>
    <row r="147" spans="1:3" x14ac:dyDescent="0.3">
      <c r="A147">
        <v>550</v>
      </c>
      <c r="B147">
        <v>1750</v>
      </c>
      <c r="C147">
        <v>48.27</v>
      </c>
    </row>
    <row r="148" spans="1:3" x14ac:dyDescent="0.3">
      <c r="A148">
        <v>600</v>
      </c>
      <c r="B148">
        <v>1550</v>
      </c>
      <c r="C148">
        <v>36.21</v>
      </c>
    </row>
    <row r="149" spans="1:3" x14ac:dyDescent="0.3">
      <c r="A149">
        <v>650</v>
      </c>
      <c r="B149">
        <v>1250</v>
      </c>
      <c r="C149">
        <v>25.24</v>
      </c>
    </row>
    <row r="150" spans="1:3" x14ac:dyDescent="0.3">
      <c r="A150">
        <v>700</v>
      </c>
      <c r="B150">
        <v>1350</v>
      </c>
      <c r="C150">
        <v>23.5</v>
      </c>
    </row>
    <row r="151" spans="1:3" x14ac:dyDescent="0.3">
      <c r="A151">
        <v>750</v>
      </c>
      <c r="B151">
        <v>1450</v>
      </c>
      <c r="C151">
        <v>22.11</v>
      </c>
    </row>
    <row r="152" spans="1:3" x14ac:dyDescent="0.3">
      <c r="A152">
        <v>800</v>
      </c>
      <c r="B152">
        <v>1450</v>
      </c>
      <c r="C152">
        <v>19.45</v>
      </c>
    </row>
    <row r="153" spans="1:3" x14ac:dyDescent="0.3">
      <c r="A153">
        <v>850</v>
      </c>
      <c r="B153">
        <v>1500</v>
      </c>
      <c r="C153">
        <v>18</v>
      </c>
    </row>
    <row r="154" spans="1:3" x14ac:dyDescent="0.3">
      <c r="A154">
        <v>900</v>
      </c>
      <c r="B154">
        <v>1600</v>
      </c>
      <c r="C154">
        <v>17</v>
      </c>
    </row>
    <row r="155" spans="1:3" x14ac:dyDescent="0.3">
      <c r="A155">
        <v>950</v>
      </c>
      <c r="B155">
        <v>1350</v>
      </c>
      <c r="C155">
        <v>13.07</v>
      </c>
    </row>
    <row r="156" spans="1:3" x14ac:dyDescent="0.3">
      <c r="A156">
        <v>1000</v>
      </c>
      <c r="B156">
        <v>1250</v>
      </c>
      <c r="C156">
        <v>10.98</v>
      </c>
    </row>
    <row r="157" spans="1:3" x14ac:dyDescent="0.3">
      <c r="A157">
        <v>1050</v>
      </c>
      <c r="B157">
        <v>1050</v>
      </c>
      <c r="C157">
        <v>8.35</v>
      </c>
    </row>
    <row r="158" spans="1:3" x14ac:dyDescent="0.3">
      <c r="A158">
        <v>1100</v>
      </c>
      <c r="B158">
        <v>1100</v>
      </c>
      <c r="C158">
        <v>8</v>
      </c>
    </row>
    <row r="159" spans="1:3" x14ac:dyDescent="0.3">
      <c r="A159">
        <v>1150</v>
      </c>
      <c r="B159">
        <v>1250</v>
      </c>
      <c r="C159">
        <v>8.33</v>
      </c>
    </row>
    <row r="160" spans="1:3" x14ac:dyDescent="0.3">
      <c r="A160">
        <v>1200</v>
      </c>
      <c r="B160">
        <v>1600</v>
      </c>
      <c r="C160">
        <v>9.75</v>
      </c>
    </row>
    <row r="161" spans="1:3" x14ac:dyDescent="0.3">
      <c r="A161">
        <v>1250</v>
      </c>
      <c r="B161">
        <v>1750</v>
      </c>
      <c r="C161">
        <v>9.98</v>
      </c>
    </row>
    <row r="162" spans="1:3" x14ac:dyDescent="0.3">
      <c r="A162">
        <v>300</v>
      </c>
      <c r="B162">
        <v>1200</v>
      </c>
      <c r="C162">
        <v>183.69</v>
      </c>
    </row>
    <row r="163" spans="1:3" x14ac:dyDescent="0.3">
      <c r="A163">
        <v>350</v>
      </c>
      <c r="B163">
        <v>1150</v>
      </c>
      <c r="C163">
        <v>144.06</v>
      </c>
    </row>
    <row r="164" spans="1:3" x14ac:dyDescent="0.3">
      <c r="A164">
        <v>400</v>
      </c>
      <c r="B164">
        <v>1800</v>
      </c>
      <c r="C164">
        <v>163.19</v>
      </c>
    </row>
    <row r="165" spans="1:3" x14ac:dyDescent="0.3">
      <c r="A165">
        <v>450</v>
      </c>
      <c r="B165">
        <v>1850</v>
      </c>
      <c r="C165">
        <v>141.31</v>
      </c>
    </row>
    <row r="166" spans="1:3" x14ac:dyDescent="0.3">
      <c r="A166">
        <v>500</v>
      </c>
      <c r="B166">
        <v>1950</v>
      </c>
      <c r="C166">
        <v>126.9</v>
      </c>
    </row>
    <row r="167" spans="1:3" x14ac:dyDescent="0.3">
      <c r="A167">
        <v>550</v>
      </c>
      <c r="B167">
        <v>1450</v>
      </c>
      <c r="C167">
        <v>90.52</v>
      </c>
    </row>
    <row r="168" spans="1:3" x14ac:dyDescent="0.3">
      <c r="A168">
        <v>600</v>
      </c>
      <c r="B168">
        <v>1350</v>
      </c>
      <c r="C168">
        <v>76.510000000000005</v>
      </c>
    </row>
    <row r="169" spans="1:3" x14ac:dyDescent="0.3">
      <c r="A169">
        <v>650</v>
      </c>
      <c r="B169">
        <v>1450</v>
      </c>
      <c r="C169">
        <v>71.97</v>
      </c>
    </row>
    <row r="170" spans="1:3" x14ac:dyDescent="0.3">
      <c r="A170">
        <v>700</v>
      </c>
      <c r="B170">
        <v>1500</v>
      </c>
      <c r="C170">
        <v>66.52</v>
      </c>
    </row>
    <row r="171" spans="1:3" x14ac:dyDescent="0.3">
      <c r="A171">
        <v>750</v>
      </c>
      <c r="B171">
        <v>1750</v>
      </c>
      <c r="C171">
        <v>67.260000000000005</v>
      </c>
    </row>
    <row r="172" spans="1:3" x14ac:dyDescent="0.3">
      <c r="A172">
        <v>800</v>
      </c>
      <c r="B172">
        <v>1650</v>
      </c>
      <c r="C172">
        <v>59.02</v>
      </c>
    </row>
    <row r="173" spans="1:3" x14ac:dyDescent="0.3">
      <c r="A173">
        <v>850</v>
      </c>
      <c r="B173">
        <v>1700</v>
      </c>
      <c r="C173">
        <v>55.49</v>
      </c>
    </row>
    <row r="174" spans="1:3" x14ac:dyDescent="0.3">
      <c r="A174">
        <v>900</v>
      </c>
      <c r="B174">
        <v>1750</v>
      </c>
      <c r="C174">
        <v>52.42</v>
      </c>
    </row>
    <row r="175" spans="1:3" x14ac:dyDescent="0.3">
      <c r="A175">
        <v>950</v>
      </c>
      <c r="B175">
        <v>1600</v>
      </c>
      <c r="C175">
        <v>45.55</v>
      </c>
    </row>
    <row r="176" spans="1:3" x14ac:dyDescent="0.3">
      <c r="A176">
        <v>1000</v>
      </c>
      <c r="B176">
        <v>1850</v>
      </c>
      <c r="C176">
        <v>46.77</v>
      </c>
    </row>
    <row r="177" spans="1:3" x14ac:dyDescent="0.3">
      <c r="A177">
        <v>1050</v>
      </c>
      <c r="B177">
        <v>1400</v>
      </c>
      <c r="C177">
        <v>36.119999999999997</v>
      </c>
    </row>
    <row r="178" spans="1:3" x14ac:dyDescent="0.3">
      <c r="A178">
        <v>1100</v>
      </c>
      <c r="B178">
        <v>1450</v>
      </c>
      <c r="C178">
        <v>34.93</v>
      </c>
    </row>
    <row r="179" spans="1:3" x14ac:dyDescent="0.3">
      <c r="A179">
        <v>1150</v>
      </c>
      <c r="B179">
        <v>1350</v>
      </c>
      <c r="C179">
        <v>31.35</v>
      </c>
    </row>
    <row r="180" spans="1:3" x14ac:dyDescent="0.3">
      <c r="A180">
        <v>1200</v>
      </c>
      <c r="B180">
        <v>1800</v>
      </c>
      <c r="C180">
        <v>35.869999999999997</v>
      </c>
    </row>
    <row r="181" spans="1:3" x14ac:dyDescent="0.3">
      <c r="A181">
        <v>1250</v>
      </c>
      <c r="B181">
        <v>1950</v>
      </c>
      <c r="C181">
        <v>35.68</v>
      </c>
    </row>
    <row r="182" spans="1:3" x14ac:dyDescent="0.3">
      <c r="A182">
        <v>300</v>
      </c>
      <c r="B182">
        <v>850</v>
      </c>
      <c r="C182">
        <v>144.74</v>
      </c>
    </row>
    <row r="183" spans="1:3" x14ac:dyDescent="0.3">
      <c r="A183">
        <v>350</v>
      </c>
      <c r="B183">
        <v>750</v>
      </c>
      <c r="C183">
        <v>107.13</v>
      </c>
    </row>
    <row r="184" spans="1:3" x14ac:dyDescent="0.3">
      <c r="A184">
        <v>400</v>
      </c>
      <c r="B184">
        <v>1300</v>
      </c>
      <c r="C184">
        <v>129.91</v>
      </c>
    </row>
    <row r="185" spans="1:3" x14ac:dyDescent="0.3">
      <c r="A185">
        <v>450</v>
      </c>
      <c r="B185">
        <v>1100</v>
      </c>
      <c r="C185">
        <v>98.97</v>
      </c>
    </row>
    <row r="186" spans="1:3" x14ac:dyDescent="0.3">
      <c r="A186">
        <v>500</v>
      </c>
      <c r="B186">
        <v>650</v>
      </c>
      <c r="C186">
        <v>59.54</v>
      </c>
    </row>
    <row r="187" spans="1:3" x14ac:dyDescent="0.3">
      <c r="A187">
        <v>550</v>
      </c>
      <c r="B187">
        <v>1500</v>
      </c>
      <c r="C187">
        <v>92.78</v>
      </c>
    </row>
    <row r="188" spans="1:3" x14ac:dyDescent="0.3">
      <c r="A188">
        <v>600</v>
      </c>
      <c r="B188">
        <v>1750</v>
      </c>
      <c r="C188">
        <v>91.49</v>
      </c>
    </row>
    <row r="189" spans="1:3" x14ac:dyDescent="0.3">
      <c r="A189">
        <v>650</v>
      </c>
      <c r="B189">
        <v>950</v>
      </c>
      <c r="C189">
        <v>53.94</v>
      </c>
    </row>
    <row r="190" spans="1:3" x14ac:dyDescent="0.3">
      <c r="A190">
        <v>700</v>
      </c>
      <c r="B190">
        <v>1000</v>
      </c>
      <c r="C190">
        <v>50.24</v>
      </c>
    </row>
    <row r="191" spans="1:3" x14ac:dyDescent="0.3">
      <c r="A191">
        <v>750</v>
      </c>
      <c r="B191">
        <v>1300</v>
      </c>
      <c r="C191">
        <v>54.8</v>
      </c>
    </row>
    <row r="192" spans="1:3" x14ac:dyDescent="0.3">
      <c r="A192">
        <v>800</v>
      </c>
      <c r="B192">
        <v>950</v>
      </c>
      <c r="C192">
        <v>40.479999999999997</v>
      </c>
    </row>
    <row r="193" spans="1:3" x14ac:dyDescent="0.3">
      <c r="A193">
        <v>850</v>
      </c>
      <c r="B193">
        <v>950</v>
      </c>
      <c r="C193">
        <v>37.229999999999997</v>
      </c>
    </row>
    <row r="194" spans="1:3" x14ac:dyDescent="0.3">
      <c r="A194">
        <v>900</v>
      </c>
      <c r="B194">
        <v>1200</v>
      </c>
      <c r="C194">
        <v>40.130000000000003</v>
      </c>
    </row>
    <row r="195" spans="1:3" x14ac:dyDescent="0.3">
      <c r="A195">
        <v>950</v>
      </c>
      <c r="B195">
        <v>1550</v>
      </c>
      <c r="C195">
        <v>44.51</v>
      </c>
    </row>
    <row r="196" spans="1:3" x14ac:dyDescent="0.3">
      <c r="A196">
        <v>1000</v>
      </c>
      <c r="B196">
        <v>850</v>
      </c>
      <c r="C196">
        <v>27.47</v>
      </c>
    </row>
    <row r="197" spans="1:3" x14ac:dyDescent="0.3">
      <c r="A197">
        <v>1050</v>
      </c>
      <c r="B197">
        <v>1400</v>
      </c>
      <c r="C197">
        <v>36.11</v>
      </c>
    </row>
    <row r="198" spans="1:3" x14ac:dyDescent="0.3">
      <c r="A198">
        <v>1100</v>
      </c>
      <c r="B198">
        <v>1400</v>
      </c>
      <c r="C198">
        <v>34.17</v>
      </c>
    </row>
    <row r="199" spans="1:3" x14ac:dyDescent="0.3">
      <c r="A199">
        <v>1150</v>
      </c>
      <c r="B199">
        <v>700</v>
      </c>
      <c r="C199">
        <v>19.690000000000001</v>
      </c>
    </row>
    <row r="200" spans="1:3" x14ac:dyDescent="0.3">
      <c r="A200">
        <v>1200</v>
      </c>
      <c r="B200">
        <v>1600</v>
      </c>
      <c r="C200">
        <v>33.07</v>
      </c>
    </row>
    <row r="201" spans="1:3" x14ac:dyDescent="0.3">
      <c r="A201">
        <v>1250</v>
      </c>
      <c r="B201">
        <v>1000</v>
      </c>
      <c r="C201">
        <v>22.81</v>
      </c>
    </row>
  </sheetData>
  <mergeCells count="1">
    <mergeCell ref="F1:N5"/>
  </mergeCells>
  <pageMargins left="0.511811024" right="0.511811024" top="0.78740157499999996" bottom="0.78740157499999996" header="0.31496062000000002" footer="0.31496062000000002"/>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BC8EE-7A43-456A-8008-E1C4B9770A17}">
  <dimension ref="A1:F201"/>
  <sheetViews>
    <sheetView workbookViewId="0">
      <selection activeCell="H12" sqref="H12"/>
    </sheetView>
  </sheetViews>
  <sheetFormatPr defaultRowHeight="14.4" x14ac:dyDescent="0.3"/>
  <cols>
    <col min="1" max="1" width="11.109375" bestFit="1" customWidth="1"/>
    <col min="2" max="2" width="9.77734375" bestFit="1" customWidth="1"/>
    <col min="3" max="3" width="10.33203125" bestFit="1" customWidth="1"/>
    <col min="4" max="4" width="5" customWidth="1"/>
    <col min="5" max="5" width="9.77734375" bestFit="1" customWidth="1"/>
  </cols>
  <sheetData>
    <row r="1" spans="1:6" x14ac:dyDescent="0.3">
      <c r="A1" t="s">
        <v>23</v>
      </c>
      <c r="B1" t="s">
        <v>24</v>
      </c>
      <c r="C1" t="s">
        <v>25</v>
      </c>
      <c r="E1" t="s">
        <v>27</v>
      </c>
      <c r="F1" t="s">
        <v>28</v>
      </c>
    </row>
    <row r="2" spans="1:6" x14ac:dyDescent="0.3">
      <c r="A2">
        <v>300</v>
      </c>
      <c r="B2">
        <v>1850</v>
      </c>
      <c r="C2">
        <v>189.46</v>
      </c>
      <c r="E2">
        <f>2951.3*(A2/(B2^(1/2)))^(-1.3686)</f>
        <v>206.80013711219291</v>
      </c>
      <c r="F2" s="4">
        <v>192.794406531005</v>
      </c>
    </row>
    <row r="3" spans="1:6" x14ac:dyDescent="0.3">
      <c r="A3">
        <v>350</v>
      </c>
      <c r="B3">
        <v>1850</v>
      </c>
      <c r="C3">
        <v>149.16</v>
      </c>
      <c r="E3">
        <f>2951.3*(A3/(B3^(1/2)))^(-1.3686)</f>
        <v>167.46630807987631</v>
      </c>
      <c r="F3" s="4">
        <v>160.80463007745101</v>
      </c>
    </row>
    <row r="4" spans="1:6" x14ac:dyDescent="0.3">
      <c r="A4">
        <v>400</v>
      </c>
      <c r="B4">
        <v>1875</v>
      </c>
      <c r="C4">
        <v>122.17</v>
      </c>
      <c r="E4">
        <f t="shared" ref="E4:E67" si="0">2951.3*(A4/(B4^(1/2)))^(-1.3686)</f>
        <v>140.78254897564582</v>
      </c>
      <c r="F4" s="4">
        <v>137.30247229083301</v>
      </c>
    </row>
    <row r="5" spans="1:6" x14ac:dyDescent="0.3">
      <c r="A5">
        <v>450</v>
      </c>
      <c r="B5">
        <v>1950</v>
      </c>
      <c r="C5">
        <v>104.3</v>
      </c>
      <c r="E5">
        <f t="shared" si="0"/>
        <v>123.08280811033154</v>
      </c>
      <c r="F5" s="4">
        <v>128.621999363176</v>
      </c>
    </row>
    <row r="6" spans="1:6" x14ac:dyDescent="0.3">
      <c r="A6">
        <v>500</v>
      </c>
      <c r="B6">
        <v>1950</v>
      </c>
      <c r="C6">
        <v>87.1</v>
      </c>
      <c r="E6">
        <f t="shared" si="0"/>
        <v>106.55496590464796</v>
      </c>
      <c r="F6" s="4">
        <v>108.22222487245099</v>
      </c>
    </row>
    <row r="7" spans="1:6" x14ac:dyDescent="0.3">
      <c r="A7">
        <v>550</v>
      </c>
      <c r="B7">
        <v>1950</v>
      </c>
      <c r="C7">
        <v>75.459999999999994</v>
      </c>
      <c r="E7">
        <f t="shared" si="0"/>
        <v>93.52412755385528</v>
      </c>
      <c r="F7" s="4">
        <v>88.119123101565094</v>
      </c>
    </row>
    <row r="8" spans="1:6" x14ac:dyDescent="0.3">
      <c r="A8">
        <v>600</v>
      </c>
      <c r="B8">
        <v>1950</v>
      </c>
      <c r="C8">
        <v>68.680000000000007</v>
      </c>
      <c r="E8">
        <f t="shared" si="0"/>
        <v>83.024494703028566</v>
      </c>
      <c r="F8" s="4">
        <v>69.3806762617007</v>
      </c>
    </row>
    <row r="9" spans="1:6" x14ac:dyDescent="0.3">
      <c r="A9">
        <v>650</v>
      </c>
      <c r="B9">
        <v>1875</v>
      </c>
      <c r="C9">
        <v>56.32</v>
      </c>
      <c r="E9">
        <f t="shared" si="0"/>
        <v>72.439410660556433</v>
      </c>
      <c r="F9" s="4">
        <v>56.573134230809998</v>
      </c>
    </row>
    <row r="10" spans="1:6" x14ac:dyDescent="0.3">
      <c r="A10">
        <v>700</v>
      </c>
      <c r="B10">
        <v>1875</v>
      </c>
      <c r="C10">
        <v>48.74</v>
      </c>
      <c r="E10">
        <f t="shared" si="0"/>
        <v>65.452607212350529</v>
      </c>
      <c r="F10" s="4">
        <v>52.284967355987902</v>
      </c>
    </row>
    <row r="11" spans="1:6" x14ac:dyDescent="0.3">
      <c r="A11">
        <v>750</v>
      </c>
      <c r="B11">
        <v>1875</v>
      </c>
      <c r="C11">
        <v>43.62</v>
      </c>
      <c r="E11">
        <f t="shared" si="0"/>
        <v>59.555144569333265</v>
      </c>
      <c r="F11" s="4">
        <v>49.759082794111499</v>
      </c>
    </row>
    <row r="12" spans="1:6" x14ac:dyDescent="0.3">
      <c r="A12">
        <v>800</v>
      </c>
      <c r="B12">
        <v>1912.5</v>
      </c>
      <c r="C12">
        <v>40.479999999999997</v>
      </c>
      <c r="E12">
        <f t="shared" si="0"/>
        <v>55.264248616071569</v>
      </c>
      <c r="F12" s="4">
        <v>43.736866462150203</v>
      </c>
    </row>
    <row r="13" spans="1:6" x14ac:dyDescent="0.3">
      <c r="A13">
        <v>850</v>
      </c>
      <c r="B13">
        <v>1912.5</v>
      </c>
      <c r="C13">
        <v>36.69</v>
      </c>
      <c r="E13">
        <f t="shared" si="0"/>
        <v>50.86399690066262</v>
      </c>
      <c r="F13" s="4">
        <v>41.623836812435997</v>
      </c>
    </row>
    <row r="14" spans="1:6" x14ac:dyDescent="0.3">
      <c r="A14">
        <v>900</v>
      </c>
      <c r="B14">
        <v>1912.5</v>
      </c>
      <c r="C14">
        <v>33.81</v>
      </c>
      <c r="E14">
        <f t="shared" si="0"/>
        <v>47.036708936267111</v>
      </c>
      <c r="F14" s="4">
        <v>39.150678129622897</v>
      </c>
    </row>
    <row r="15" spans="1:6" x14ac:dyDescent="0.3">
      <c r="A15">
        <v>950</v>
      </c>
      <c r="B15">
        <v>1900</v>
      </c>
      <c r="C15">
        <v>31.23</v>
      </c>
      <c r="E15">
        <f t="shared" si="0"/>
        <v>43.486246245224272</v>
      </c>
      <c r="F15" s="4">
        <v>36.947698154784703</v>
      </c>
    </row>
    <row r="16" spans="1:6" x14ac:dyDescent="0.3">
      <c r="A16">
        <v>1000</v>
      </c>
      <c r="B16">
        <v>1875</v>
      </c>
      <c r="C16">
        <v>28.21</v>
      </c>
      <c r="E16">
        <f t="shared" si="0"/>
        <v>40.172432370915878</v>
      </c>
      <c r="F16" s="4">
        <v>34.777138999372397</v>
      </c>
    </row>
    <row r="17" spans="1:6" x14ac:dyDescent="0.3">
      <c r="A17">
        <v>1050</v>
      </c>
      <c r="B17">
        <v>2950</v>
      </c>
      <c r="C17">
        <v>36.700000000000003</v>
      </c>
      <c r="E17">
        <f t="shared" si="0"/>
        <v>51.24044451832259</v>
      </c>
      <c r="F17" s="4">
        <v>38.906525080741197</v>
      </c>
    </row>
    <row r="18" spans="1:6" x14ac:dyDescent="0.3">
      <c r="A18">
        <v>1100</v>
      </c>
      <c r="B18">
        <v>1800</v>
      </c>
      <c r="C18">
        <v>22.98</v>
      </c>
      <c r="E18">
        <f t="shared" si="0"/>
        <v>34.288327685246713</v>
      </c>
      <c r="F18" s="4">
        <v>29.4433561927626</v>
      </c>
    </row>
    <row r="19" spans="1:6" x14ac:dyDescent="0.3">
      <c r="A19">
        <v>1150</v>
      </c>
      <c r="B19">
        <v>2750</v>
      </c>
      <c r="C19">
        <v>30.99</v>
      </c>
      <c r="E19">
        <f t="shared" si="0"/>
        <v>43.119891154420138</v>
      </c>
      <c r="F19" s="4">
        <v>-33.762589527428403</v>
      </c>
    </row>
    <row r="20" spans="1:6" x14ac:dyDescent="0.3">
      <c r="A20">
        <v>1200</v>
      </c>
      <c r="B20">
        <v>2150</v>
      </c>
      <c r="C20">
        <v>23.42</v>
      </c>
      <c r="E20">
        <f t="shared" si="0"/>
        <v>34.374274646465629</v>
      </c>
      <c r="F20" s="4">
        <v>29.7466792113749</v>
      </c>
    </row>
    <row r="21" spans="1:6" x14ac:dyDescent="0.3">
      <c r="A21">
        <v>1250</v>
      </c>
      <c r="B21">
        <v>2050</v>
      </c>
      <c r="C21">
        <v>21.08</v>
      </c>
      <c r="E21">
        <f t="shared" si="0"/>
        <v>31.464112132141004</v>
      </c>
      <c r="F21" s="4">
        <v>21.131055950785001</v>
      </c>
    </row>
    <row r="22" spans="1:6" x14ac:dyDescent="0.3">
      <c r="A22">
        <v>300</v>
      </c>
      <c r="B22">
        <v>1450</v>
      </c>
      <c r="C22">
        <v>156.94999999999999</v>
      </c>
      <c r="E22">
        <f t="shared" si="0"/>
        <v>175.04484784475514</v>
      </c>
      <c r="F22" s="4">
        <v>164.81259238342599</v>
      </c>
    </row>
    <row r="23" spans="1:6" x14ac:dyDescent="0.3">
      <c r="A23">
        <v>350</v>
      </c>
      <c r="B23">
        <v>1450</v>
      </c>
      <c r="C23">
        <v>100.94</v>
      </c>
      <c r="E23">
        <f t="shared" si="0"/>
        <v>141.75094284904353</v>
      </c>
      <c r="F23" s="4">
        <v>134.28470070985301</v>
      </c>
    </row>
    <row r="24" spans="1:6" x14ac:dyDescent="0.3">
      <c r="A24">
        <v>400</v>
      </c>
      <c r="B24">
        <v>1400</v>
      </c>
      <c r="C24">
        <v>96.18</v>
      </c>
      <c r="E24">
        <f t="shared" si="0"/>
        <v>115.27349704196368</v>
      </c>
      <c r="F24" s="4">
        <v>121.027245573404</v>
      </c>
    </row>
    <row r="25" spans="1:6" x14ac:dyDescent="0.3">
      <c r="A25">
        <v>450</v>
      </c>
      <c r="B25">
        <v>1450</v>
      </c>
      <c r="C25">
        <v>82.13</v>
      </c>
      <c r="E25">
        <f t="shared" si="0"/>
        <v>100.49647653515673</v>
      </c>
      <c r="F25" s="4">
        <v>104.456097720047</v>
      </c>
    </row>
    <row r="26" spans="1:6" x14ac:dyDescent="0.3">
      <c r="A26">
        <v>500</v>
      </c>
      <c r="B26">
        <v>1400</v>
      </c>
      <c r="C26">
        <v>67.64</v>
      </c>
      <c r="E26">
        <f t="shared" si="0"/>
        <v>84.93729476961839</v>
      </c>
      <c r="F26" s="4">
        <v>99.371193192451699</v>
      </c>
    </row>
    <row r="27" spans="1:6" x14ac:dyDescent="0.3">
      <c r="A27">
        <v>550</v>
      </c>
      <c r="B27">
        <v>1500</v>
      </c>
      <c r="C27">
        <v>60.63</v>
      </c>
      <c r="E27">
        <f t="shared" si="0"/>
        <v>78.154183377333027</v>
      </c>
      <c r="F27" s="4">
        <v>89.742577923058903</v>
      </c>
    </row>
    <row r="28" spans="1:6" x14ac:dyDescent="0.3">
      <c r="A28">
        <v>600</v>
      </c>
      <c r="B28">
        <v>1200</v>
      </c>
      <c r="C28">
        <v>45.63</v>
      </c>
      <c r="E28">
        <f t="shared" si="0"/>
        <v>59.555144569333265</v>
      </c>
      <c r="F28" s="4">
        <v>52.6908577571077</v>
      </c>
    </row>
    <row r="29" spans="1:6" x14ac:dyDescent="0.3">
      <c r="A29">
        <v>650</v>
      </c>
      <c r="B29">
        <v>1850</v>
      </c>
      <c r="C29">
        <v>55.48</v>
      </c>
      <c r="E29">
        <f t="shared" si="0"/>
        <v>71.777074227626557</v>
      </c>
      <c r="F29" s="4">
        <v>58.387518845586897</v>
      </c>
    </row>
    <row r="30" spans="1:6" x14ac:dyDescent="0.3">
      <c r="A30">
        <v>700</v>
      </c>
      <c r="B30">
        <v>1850</v>
      </c>
      <c r="C30">
        <v>49.19</v>
      </c>
      <c r="E30">
        <f t="shared" si="0"/>
        <v>64.854153332181269</v>
      </c>
      <c r="F30" s="4">
        <v>55.0458276273921</v>
      </c>
    </row>
    <row r="31" spans="1:6" x14ac:dyDescent="0.3">
      <c r="A31">
        <v>750</v>
      </c>
      <c r="B31">
        <v>950</v>
      </c>
      <c r="C31">
        <v>25.81</v>
      </c>
      <c r="E31">
        <f t="shared" si="0"/>
        <v>37.399067682358229</v>
      </c>
      <c r="F31" s="4">
        <v>48.401244765823499</v>
      </c>
    </row>
    <row r="32" spans="1:6" x14ac:dyDescent="0.3">
      <c r="A32">
        <v>800</v>
      </c>
      <c r="B32">
        <v>1350</v>
      </c>
      <c r="C32">
        <v>30.8</v>
      </c>
      <c r="E32">
        <f t="shared" si="0"/>
        <v>43.544348729310364</v>
      </c>
      <c r="F32" s="4">
        <v>34.772105890195398</v>
      </c>
    </row>
    <row r="33" spans="1:6" x14ac:dyDescent="0.3">
      <c r="A33">
        <v>850</v>
      </c>
      <c r="B33">
        <v>1250</v>
      </c>
      <c r="C33">
        <v>26.33</v>
      </c>
      <c r="E33">
        <f t="shared" si="0"/>
        <v>38.021227869535565</v>
      </c>
      <c r="F33" s="4">
        <v>34.466069453587103</v>
      </c>
    </row>
    <row r="34" spans="1:6" x14ac:dyDescent="0.3">
      <c r="A34">
        <v>900</v>
      </c>
      <c r="B34">
        <v>1250</v>
      </c>
      <c r="C34">
        <v>23.51</v>
      </c>
      <c r="E34">
        <f t="shared" si="0"/>
        <v>35.160300756379087</v>
      </c>
      <c r="F34" s="4">
        <v>33.835636083765998</v>
      </c>
    </row>
    <row r="35" spans="1:6" x14ac:dyDescent="0.3">
      <c r="A35">
        <v>950</v>
      </c>
      <c r="B35">
        <v>1500</v>
      </c>
      <c r="C35">
        <v>25.32</v>
      </c>
      <c r="E35">
        <f t="shared" si="0"/>
        <v>36.991341398437129</v>
      </c>
      <c r="F35" s="4">
        <v>32.328026440337403</v>
      </c>
    </row>
    <row r="36" spans="1:6" x14ac:dyDescent="0.3">
      <c r="A36">
        <v>1000</v>
      </c>
      <c r="B36">
        <v>1500</v>
      </c>
      <c r="C36">
        <v>23.3</v>
      </c>
      <c r="E36">
        <f t="shared" si="0"/>
        <v>34.483600607011446</v>
      </c>
      <c r="F36" s="4">
        <v>31.4749372045477</v>
      </c>
    </row>
    <row r="37" spans="1:6" x14ac:dyDescent="0.3">
      <c r="A37">
        <v>1050</v>
      </c>
      <c r="B37">
        <v>1750</v>
      </c>
      <c r="C37">
        <v>24.39</v>
      </c>
      <c r="E37">
        <f t="shared" si="0"/>
        <v>35.844672755267482</v>
      </c>
      <c r="F37" s="4">
        <v>31.321944535122199</v>
      </c>
    </row>
    <row r="38" spans="1:6" x14ac:dyDescent="0.3">
      <c r="A38">
        <v>1100</v>
      </c>
      <c r="B38">
        <v>2350</v>
      </c>
      <c r="C38">
        <v>28.32</v>
      </c>
      <c r="E38">
        <f t="shared" si="0"/>
        <v>41.151442854428538</v>
      </c>
      <c r="F38" s="4">
        <v>21.597382675477299</v>
      </c>
    </row>
    <row r="39" spans="1:6" x14ac:dyDescent="0.3">
      <c r="A39">
        <v>1150</v>
      </c>
      <c r="B39">
        <v>1350</v>
      </c>
      <c r="C39">
        <v>17.260000000000002</v>
      </c>
      <c r="E39">
        <f t="shared" si="0"/>
        <v>26.499012578296362</v>
      </c>
      <c r="F39" s="4">
        <v>27.4731015943518</v>
      </c>
    </row>
    <row r="40" spans="1:6" x14ac:dyDescent="0.3">
      <c r="A40">
        <v>1200</v>
      </c>
      <c r="B40">
        <v>1450</v>
      </c>
      <c r="C40">
        <v>16.75</v>
      </c>
      <c r="E40">
        <f t="shared" si="0"/>
        <v>26.252461389505385</v>
      </c>
      <c r="F40" s="4">
        <v>25.212579937993901</v>
      </c>
    </row>
    <row r="41" spans="1:6" x14ac:dyDescent="0.3">
      <c r="A41">
        <v>1250</v>
      </c>
      <c r="B41">
        <v>2755</v>
      </c>
      <c r="C41">
        <v>26.36</v>
      </c>
      <c r="E41">
        <f t="shared" si="0"/>
        <v>38.517449965590835</v>
      </c>
      <c r="F41" s="4">
        <v>-5.7126497616425302</v>
      </c>
    </row>
    <row r="42" spans="1:6" x14ac:dyDescent="0.3">
      <c r="A42">
        <v>300</v>
      </c>
      <c r="B42">
        <v>1650</v>
      </c>
      <c r="C42">
        <v>174.16</v>
      </c>
      <c r="E42">
        <f t="shared" si="0"/>
        <v>191.2271144120499</v>
      </c>
      <c r="F42" s="4">
        <v>173.81155532621199</v>
      </c>
    </row>
    <row r="43" spans="1:6" x14ac:dyDescent="0.3">
      <c r="A43">
        <v>350</v>
      </c>
      <c r="B43">
        <v>1550</v>
      </c>
      <c r="C43">
        <v>128.35</v>
      </c>
      <c r="E43">
        <f t="shared" si="0"/>
        <v>148.36990321603272</v>
      </c>
      <c r="F43" s="4">
        <v>131.122159147113</v>
      </c>
    </row>
    <row r="44" spans="1:6" x14ac:dyDescent="0.3">
      <c r="A44">
        <v>400</v>
      </c>
      <c r="B44">
        <v>1355</v>
      </c>
      <c r="C44">
        <v>94.17</v>
      </c>
      <c r="E44">
        <f t="shared" si="0"/>
        <v>112.72496611007378</v>
      </c>
      <c r="F44" s="4">
        <v>126.564720105655</v>
      </c>
    </row>
    <row r="45" spans="1:6" x14ac:dyDescent="0.3">
      <c r="A45">
        <v>450</v>
      </c>
      <c r="B45">
        <v>1555</v>
      </c>
      <c r="C45">
        <v>86.63</v>
      </c>
      <c r="E45">
        <f t="shared" si="0"/>
        <v>105.42116703901243</v>
      </c>
      <c r="F45" s="4">
        <v>93.764034333692393</v>
      </c>
    </row>
    <row r="46" spans="1:6" x14ac:dyDescent="0.3">
      <c r="A46">
        <v>500</v>
      </c>
      <c r="B46">
        <v>1850</v>
      </c>
      <c r="C46">
        <v>83.8</v>
      </c>
      <c r="E46">
        <f t="shared" si="0"/>
        <v>102.78473573893548</v>
      </c>
      <c r="F46" s="4">
        <v>90.681272134447696</v>
      </c>
    </row>
    <row r="47" spans="1:6" x14ac:dyDescent="0.3">
      <c r="A47">
        <v>550</v>
      </c>
      <c r="B47">
        <v>1900</v>
      </c>
      <c r="C47">
        <v>62.24</v>
      </c>
      <c r="E47">
        <f t="shared" si="0"/>
        <v>91.876421209875602</v>
      </c>
      <c r="F47" s="4">
        <v>80.628118324280507</v>
      </c>
    </row>
    <row r="48" spans="1:6" x14ac:dyDescent="0.3">
      <c r="A48">
        <v>600</v>
      </c>
      <c r="B48">
        <v>1400</v>
      </c>
      <c r="C48">
        <v>50.67</v>
      </c>
      <c r="E48">
        <f t="shared" si="0"/>
        <v>66.180641322716141</v>
      </c>
      <c r="F48" s="4">
        <v>74.227582704963297</v>
      </c>
    </row>
    <row r="49" spans="1:6" x14ac:dyDescent="0.3">
      <c r="A49">
        <v>650</v>
      </c>
      <c r="B49">
        <v>1100</v>
      </c>
      <c r="C49">
        <v>36.17</v>
      </c>
      <c r="E49">
        <f t="shared" si="0"/>
        <v>50.290407232106794</v>
      </c>
      <c r="F49" s="4">
        <v>41.295317561754501</v>
      </c>
    </row>
    <row r="50" spans="1:6" x14ac:dyDescent="0.3">
      <c r="A50">
        <v>700</v>
      </c>
      <c r="B50">
        <v>1250</v>
      </c>
      <c r="C50">
        <v>34.770000000000003</v>
      </c>
      <c r="E50">
        <f t="shared" si="0"/>
        <v>49.593836071746395</v>
      </c>
      <c r="F50" s="4">
        <v>39.727898567282303</v>
      </c>
    </row>
    <row r="51" spans="1:6" x14ac:dyDescent="0.3">
      <c r="A51">
        <v>750</v>
      </c>
      <c r="B51">
        <v>1500</v>
      </c>
      <c r="C51">
        <v>36.409999999999997</v>
      </c>
      <c r="E51">
        <f t="shared" si="0"/>
        <v>51.1215203615238</v>
      </c>
      <c r="F51" s="4">
        <v>46.191813340624499</v>
      </c>
    </row>
    <row r="52" spans="1:6" x14ac:dyDescent="0.3">
      <c r="A52">
        <v>800</v>
      </c>
      <c r="B52">
        <v>1800</v>
      </c>
      <c r="C52">
        <v>38.42</v>
      </c>
      <c r="E52">
        <f t="shared" si="0"/>
        <v>53.018492720232175</v>
      </c>
      <c r="F52" s="4">
        <v>50.056131144706498</v>
      </c>
    </row>
    <row r="53" spans="1:6" x14ac:dyDescent="0.3">
      <c r="A53">
        <v>850</v>
      </c>
      <c r="B53">
        <v>1950</v>
      </c>
      <c r="C53">
        <v>36.85</v>
      </c>
      <c r="E53">
        <f t="shared" si="0"/>
        <v>51.544377692636807</v>
      </c>
      <c r="F53" s="4">
        <v>38.9479263722478</v>
      </c>
    </row>
    <row r="54" spans="1:6" x14ac:dyDescent="0.3">
      <c r="A54">
        <v>900</v>
      </c>
      <c r="B54">
        <v>1250</v>
      </c>
      <c r="C54">
        <v>23.42</v>
      </c>
      <c r="E54">
        <f t="shared" si="0"/>
        <v>35.160300756379087</v>
      </c>
      <c r="F54" s="4">
        <v>33.835636083765998</v>
      </c>
    </row>
    <row r="55" spans="1:6" x14ac:dyDescent="0.3">
      <c r="A55">
        <v>950</v>
      </c>
      <c r="B55">
        <v>1250</v>
      </c>
      <c r="C55">
        <v>21.25</v>
      </c>
      <c r="E55">
        <f t="shared" si="0"/>
        <v>32.652493639817664</v>
      </c>
      <c r="F55" s="4">
        <v>32.792594743884202</v>
      </c>
    </row>
    <row r="56" spans="1:6" x14ac:dyDescent="0.3">
      <c r="A56">
        <v>1000</v>
      </c>
      <c r="B56">
        <v>1200</v>
      </c>
      <c r="C56">
        <v>18.62</v>
      </c>
      <c r="E56">
        <f t="shared" si="0"/>
        <v>29.600366237339902</v>
      </c>
      <c r="F56" s="4">
        <v>31.469726423937299</v>
      </c>
    </row>
    <row r="57" spans="1:6" x14ac:dyDescent="0.3">
      <c r="A57">
        <v>1050</v>
      </c>
      <c r="B57">
        <v>1950</v>
      </c>
      <c r="C57">
        <v>26.58</v>
      </c>
      <c r="E57">
        <f t="shared" si="0"/>
        <v>38.599738961547502</v>
      </c>
      <c r="F57" s="4">
        <v>33.862115424289897</v>
      </c>
    </row>
    <row r="58" spans="1:6" x14ac:dyDescent="0.3">
      <c r="A58">
        <v>1100</v>
      </c>
      <c r="B58">
        <v>1800</v>
      </c>
      <c r="C58">
        <v>22.73</v>
      </c>
      <c r="E58">
        <f t="shared" si="0"/>
        <v>34.288327685246713</v>
      </c>
      <c r="F58" s="4">
        <v>29.4433561927626</v>
      </c>
    </row>
    <row r="59" spans="1:6" x14ac:dyDescent="0.3">
      <c r="A59">
        <v>1150</v>
      </c>
      <c r="B59">
        <v>1800</v>
      </c>
      <c r="C59">
        <v>21.17</v>
      </c>
      <c r="E59">
        <f t="shared" si="0"/>
        <v>32.264524478467202</v>
      </c>
      <c r="F59" s="4">
        <v>26.309639084117698</v>
      </c>
    </row>
    <row r="60" spans="1:6" x14ac:dyDescent="0.3">
      <c r="A60">
        <v>1200</v>
      </c>
      <c r="B60">
        <v>1800</v>
      </c>
      <c r="C60">
        <v>19.440000000000001</v>
      </c>
      <c r="E60">
        <f t="shared" si="0"/>
        <v>30.438894804339942</v>
      </c>
      <c r="F60" s="4">
        <v>22.5220427286107</v>
      </c>
    </row>
    <row r="61" spans="1:6" x14ac:dyDescent="0.3">
      <c r="A61">
        <v>1250</v>
      </c>
      <c r="B61">
        <v>1950</v>
      </c>
      <c r="C61">
        <v>18.829999999999998</v>
      </c>
      <c r="E61">
        <f t="shared" si="0"/>
        <v>30.405559444233525</v>
      </c>
      <c r="F61" s="4">
        <v>18.974876319695799</v>
      </c>
    </row>
    <row r="62" spans="1:6" x14ac:dyDescent="0.3">
      <c r="A62">
        <v>300</v>
      </c>
      <c r="B62">
        <v>1600</v>
      </c>
      <c r="C62">
        <v>191.01</v>
      </c>
      <c r="E62">
        <f t="shared" si="0"/>
        <v>187.24253522503145</v>
      </c>
      <c r="F62" s="4">
        <v>169.66314495157999</v>
      </c>
    </row>
    <row r="63" spans="1:6" x14ac:dyDescent="0.3">
      <c r="A63">
        <v>350</v>
      </c>
      <c r="B63">
        <v>1450</v>
      </c>
      <c r="C63">
        <v>142.44</v>
      </c>
      <c r="E63">
        <f t="shared" si="0"/>
        <v>141.75094284904353</v>
      </c>
      <c r="F63" s="4">
        <v>134.28470070985301</v>
      </c>
    </row>
    <row r="64" spans="1:6" x14ac:dyDescent="0.3">
      <c r="A64">
        <v>400</v>
      </c>
      <c r="B64">
        <v>1850</v>
      </c>
      <c r="C64">
        <v>140</v>
      </c>
      <c r="E64">
        <f t="shared" si="0"/>
        <v>139.49532962285124</v>
      </c>
      <c r="F64" s="4">
        <v>133.144447107529</v>
      </c>
    </row>
    <row r="65" spans="1:6" x14ac:dyDescent="0.3">
      <c r="A65">
        <v>450</v>
      </c>
      <c r="B65">
        <v>1700</v>
      </c>
      <c r="C65">
        <v>111.06</v>
      </c>
      <c r="E65">
        <f t="shared" si="0"/>
        <v>112.05285034409864</v>
      </c>
      <c r="F65" s="4">
        <v>91.606500438522502</v>
      </c>
    </row>
    <row r="66" spans="1:6" x14ac:dyDescent="0.3">
      <c r="A66">
        <v>500</v>
      </c>
      <c r="B66">
        <v>1300</v>
      </c>
      <c r="C66">
        <v>78.290000000000006</v>
      </c>
      <c r="E66">
        <f t="shared" si="0"/>
        <v>80.737341670149448</v>
      </c>
      <c r="F66" s="4">
        <v>95.9399627790838</v>
      </c>
    </row>
    <row r="67" spans="1:6" x14ac:dyDescent="0.3">
      <c r="A67">
        <v>550</v>
      </c>
      <c r="B67">
        <v>1750</v>
      </c>
      <c r="C67">
        <v>84.74</v>
      </c>
      <c r="E67">
        <f t="shared" si="0"/>
        <v>86.848819113243039</v>
      </c>
      <c r="F67" s="4">
        <v>73.125883116812602</v>
      </c>
    </row>
    <row r="68" spans="1:6" x14ac:dyDescent="0.3">
      <c r="A68">
        <v>600</v>
      </c>
      <c r="B68">
        <v>1950</v>
      </c>
      <c r="C68">
        <v>80.790000000000006</v>
      </c>
      <c r="E68">
        <f t="shared" ref="E68:E131" si="1">2951.3*(A68/(B68^(1/2)))^(-1.3686)</f>
        <v>83.024494703028566</v>
      </c>
      <c r="F68" s="4">
        <v>69.3806762617007</v>
      </c>
    </row>
    <row r="69" spans="1:6" x14ac:dyDescent="0.3">
      <c r="A69">
        <v>650</v>
      </c>
      <c r="B69">
        <v>1800</v>
      </c>
      <c r="C69">
        <v>68.040000000000006</v>
      </c>
      <c r="E69">
        <f t="shared" si="1"/>
        <v>70.44385479014872</v>
      </c>
      <c r="F69" s="4">
        <v>62.9339851633436</v>
      </c>
    </row>
    <row r="70" spans="1:6" x14ac:dyDescent="0.3">
      <c r="A70">
        <v>700</v>
      </c>
      <c r="B70">
        <v>1200</v>
      </c>
      <c r="C70">
        <v>45.44</v>
      </c>
      <c r="E70">
        <f t="shared" si="1"/>
        <v>48.227628508673277</v>
      </c>
      <c r="F70" s="4">
        <v>38.720415534259502</v>
      </c>
    </row>
    <row r="71" spans="1:6" x14ac:dyDescent="0.3">
      <c r="A71">
        <v>750</v>
      </c>
      <c r="B71">
        <v>1150</v>
      </c>
      <c r="C71">
        <v>39.85</v>
      </c>
      <c r="E71">
        <f t="shared" si="1"/>
        <v>42.622610455927848</v>
      </c>
      <c r="F71" s="4">
        <v>37.721185364414097</v>
      </c>
    </row>
    <row r="72" spans="1:6" x14ac:dyDescent="0.3">
      <c r="A72">
        <v>800</v>
      </c>
      <c r="B72">
        <v>1650</v>
      </c>
      <c r="C72">
        <v>47.11</v>
      </c>
      <c r="E72">
        <f t="shared" si="1"/>
        <v>49.953815405385413</v>
      </c>
      <c r="F72" s="4">
        <v>46.424363407516402</v>
      </c>
    </row>
    <row r="73" spans="1:6" x14ac:dyDescent="0.3">
      <c r="A73">
        <v>850</v>
      </c>
      <c r="B73">
        <v>1050</v>
      </c>
      <c r="C73">
        <v>30.65</v>
      </c>
      <c r="E73">
        <f t="shared" si="1"/>
        <v>33.745079330501724</v>
      </c>
      <c r="F73" s="4">
        <v>39.687861890978098</v>
      </c>
    </row>
    <row r="74" spans="1:6" x14ac:dyDescent="0.3">
      <c r="A74">
        <v>900</v>
      </c>
      <c r="B74">
        <v>1850</v>
      </c>
      <c r="C74">
        <v>42.93</v>
      </c>
      <c r="E74">
        <f t="shared" si="1"/>
        <v>45.979333664791866</v>
      </c>
      <c r="F74" s="4">
        <v>39.665089014532903</v>
      </c>
    </row>
    <row r="75" spans="1:6" x14ac:dyDescent="0.3">
      <c r="A75">
        <v>950</v>
      </c>
      <c r="B75">
        <v>1300</v>
      </c>
      <c r="C75">
        <v>28.87</v>
      </c>
      <c r="E75">
        <f t="shared" si="1"/>
        <v>33.540711233347039</v>
      </c>
      <c r="F75" s="4">
        <v>32.547264437206898</v>
      </c>
    </row>
    <row r="76" spans="1:6" x14ac:dyDescent="0.3">
      <c r="A76">
        <v>1000</v>
      </c>
      <c r="B76">
        <v>1950</v>
      </c>
      <c r="C76">
        <v>38.369999999999997</v>
      </c>
      <c r="E76">
        <f t="shared" si="1"/>
        <v>41.265208365310563</v>
      </c>
      <c r="F76" s="4">
        <v>35.3629736340866</v>
      </c>
    </row>
    <row r="77" spans="1:6" x14ac:dyDescent="0.3">
      <c r="A77">
        <v>1050</v>
      </c>
      <c r="B77">
        <v>1100</v>
      </c>
      <c r="C77">
        <v>23.55</v>
      </c>
      <c r="E77">
        <f t="shared" si="1"/>
        <v>26.08787456119558</v>
      </c>
      <c r="F77" s="4">
        <v>29.687776743277201</v>
      </c>
    </row>
    <row r="78" spans="1:6" x14ac:dyDescent="0.3">
      <c r="A78">
        <v>1100</v>
      </c>
      <c r="B78">
        <v>1250</v>
      </c>
      <c r="C78">
        <v>24.15</v>
      </c>
      <c r="E78">
        <f t="shared" si="1"/>
        <v>26.716456207465178</v>
      </c>
      <c r="F78" s="4">
        <v>28.7490167821482</v>
      </c>
    </row>
    <row r="79" spans="1:6" x14ac:dyDescent="0.3">
      <c r="A79">
        <v>1150</v>
      </c>
      <c r="B79">
        <v>1350</v>
      </c>
      <c r="C79">
        <v>23.8</v>
      </c>
      <c r="E79">
        <f t="shared" si="1"/>
        <v>26.499012578296362</v>
      </c>
      <c r="F79" s="4">
        <v>27.4731015943518</v>
      </c>
    </row>
    <row r="80" spans="1:6" x14ac:dyDescent="0.3">
      <c r="A80">
        <v>1200</v>
      </c>
      <c r="B80">
        <v>1500</v>
      </c>
      <c r="C80">
        <v>24.29</v>
      </c>
      <c r="E80">
        <f t="shared" si="1"/>
        <v>26.868607123389701</v>
      </c>
      <c r="F80" s="4">
        <v>24.634288243300801</v>
      </c>
    </row>
    <row r="81" spans="1:6" x14ac:dyDescent="0.3">
      <c r="A81">
        <v>1250</v>
      </c>
      <c r="B81">
        <v>1750</v>
      </c>
      <c r="C81">
        <v>25.74</v>
      </c>
      <c r="E81">
        <f t="shared" si="1"/>
        <v>28.235354889448974</v>
      </c>
      <c r="F81" s="4">
        <v>18.595126562912</v>
      </c>
    </row>
    <row r="82" spans="1:6" x14ac:dyDescent="0.3">
      <c r="A82">
        <v>300</v>
      </c>
      <c r="B82">
        <v>1500</v>
      </c>
      <c r="C82">
        <v>182.33</v>
      </c>
      <c r="E82">
        <f t="shared" si="1"/>
        <v>179.15315352465959</v>
      </c>
      <c r="F82" s="4">
        <v>164.73431172656001</v>
      </c>
    </row>
    <row r="83" spans="1:6" x14ac:dyDescent="0.3">
      <c r="A83">
        <v>350</v>
      </c>
      <c r="B83">
        <v>1950</v>
      </c>
      <c r="C83">
        <v>175.74</v>
      </c>
      <c r="E83">
        <f t="shared" si="1"/>
        <v>173.60911247514093</v>
      </c>
      <c r="F83" s="4">
        <v>173.589608855573</v>
      </c>
    </row>
    <row r="84" spans="1:6" x14ac:dyDescent="0.3">
      <c r="A84">
        <v>400</v>
      </c>
      <c r="B84">
        <v>1850</v>
      </c>
      <c r="C84">
        <v>129.44999999999999</v>
      </c>
      <c r="E84">
        <f t="shared" si="1"/>
        <v>139.49532962285124</v>
      </c>
      <c r="F84" s="4">
        <v>133.144447107529</v>
      </c>
    </row>
    <row r="85" spans="1:6" x14ac:dyDescent="0.3">
      <c r="A85">
        <v>450</v>
      </c>
      <c r="B85">
        <v>1100</v>
      </c>
      <c r="C85">
        <v>69.715000000000003</v>
      </c>
      <c r="E85">
        <f t="shared" si="1"/>
        <v>83.186284286035075</v>
      </c>
      <c r="F85" s="4">
        <v>96.928962834024304</v>
      </c>
    </row>
    <row r="86" spans="1:6" x14ac:dyDescent="0.3">
      <c r="A86">
        <v>500</v>
      </c>
      <c r="B86">
        <v>1050</v>
      </c>
      <c r="C86">
        <v>55.67</v>
      </c>
      <c r="E86">
        <f t="shared" si="1"/>
        <v>69.759417776905352</v>
      </c>
      <c r="F86" s="4">
        <v>66.220856252460393</v>
      </c>
    </row>
    <row r="87" spans="1:6" x14ac:dyDescent="0.3">
      <c r="A87">
        <v>550</v>
      </c>
      <c r="B87">
        <v>1750</v>
      </c>
      <c r="C87">
        <v>73.31</v>
      </c>
      <c r="E87">
        <f t="shared" si="1"/>
        <v>86.848819113243039</v>
      </c>
      <c r="F87" s="4">
        <v>73.125883116812602</v>
      </c>
    </row>
    <row r="88" spans="1:6" x14ac:dyDescent="0.3">
      <c r="A88">
        <v>600</v>
      </c>
      <c r="B88">
        <v>1200</v>
      </c>
      <c r="C88">
        <v>45.77</v>
      </c>
      <c r="E88">
        <f t="shared" si="1"/>
        <v>59.555144569333265</v>
      </c>
      <c r="F88" s="4">
        <v>52.6908577571077</v>
      </c>
    </row>
    <row r="89" spans="1:6" x14ac:dyDescent="0.3">
      <c r="A89">
        <v>650</v>
      </c>
      <c r="B89">
        <v>1400</v>
      </c>
      <c r="C89">
        <v>45.6</v>
      </c>
      <c r="E89">
        <f t="shared" si="1"/>
        <v>59.313773271329126</v>
      </c>
      <c r="F89" s="4">
        <v>60.300179137866103</v>
      </c>
    </row>
    <row r="90" spans="1:6" x14ac:dyDescent="0.3">
      <c r="A90">
        <v>700</v>
      </c>
      <c r="B90">
        <v>1700</v>
      </c>
      <c r="C90">
        <v>47.42</v>
      </c>
      <c r="E90">
        <f t="shared" si="1"/>
        <v>61.208026525674732</v>
      </c>
      <c r="F90" s="4">
        <v>66.067587341348201</v>
      </c>
    </row>
    <row r="91" spans="1:6" x14ac:dyDescent="0.3">
      <c r="A91">
        <v>750</v>
      </c>
      <c r="B91">
        <v>1350</v>
      </c>
      <c r="C91">
        <v>34.380000000000003</v>
      </c>
      <c r="E91">
        <f t="shared" si="1"/>
        <v>47.565482936333431</v>
      </c>
      <c r="F91" s="4">
        <v>38.072363221410598</v>
      </c>
    </row>
    <row r="92" spans="1:6" x14ac:dyDescent="0.3">
      <c r="A92">
        <v>800</v>
      </c>
      <c r="B92">
        <v>1800</v>
      </c>
      <c r="C92">
        <v>39.54</v>
      </c>
      <c r="E92">
        <f t="shared" si="1"/>
        <v>53.018492720232175</v>
      </c>
      <c r="F92" s="4">
        <v>50.056131144706498</v>
      </c>
    </row>
    <row r="93" spans="1:6" x14ac:dyDescent="0.3">
      <c r="A93">
        <v>850</v>
      </c>
      <c r="B93">
        <v>1300</v>
      </c>
      <c r="C93">
        <v>26.87</v>
      </c>
      <c r="E93">
        <f t="shared" si="1"/>
        <v>39.055486505149545</v>
      </c>
      <c r="F93" s="4">
        <v>33.821870366405697</v>
      </c>
    </row>
    <row r="94" spans="1:6" x14ac:dyDescent="0.3">
      <c r="A94">
        <v>900</v>
      </c>
      <c r="B94">
        <v>1550</v>
      </c>
      <c r="C94">
        <v>28.39</v>
      </c>
      <c r="E94">
        <f t="shared" si="1"/>
        <v>40.736249362641857</v>
      </c>
      <c r="F94" s="4">
        <v>33.721934579133503</v>
      </c>
    </row>
    <row r="95" spans="1:6" x14ac:dyDescent="0.3">
      <c r="A95">
        <v>950</v>
      </c>
      <c r="B95">
        <v>1200</v>
      </c>
      <c r="C95">
        <v>20.83</v>
      </c>
      <c r="E95">
        <f t="shared" si="1"/>
        <v>31.752985005329716</v>
      </c>
      <c r="F95" s="4">
        <v>33.092566650318098</v>
      </c>
    </row>
    <row r="96" spans="1:6" x14ac:dyDescent="0.3">
      <c r="A96">
        <v>1000</v>
      </c>
      <c r="B96">
        <v>1950</v>
      </c>
      <c r="C96">
        <v>28.85</v>
      </c>
      <c r="E96">
        <f t="shared" si="1"/>
        <v>41.265208365310563</v>
      </c>
      <c r="F96" s="4">
        <v>35.3629736340866</v>
      </c>
    </row>
    <row r="97" spans="1:6" x14ac:dyDescent="0.3">
      <c r="A97">
        <v>1050</v>
      </c>
      <c r="B97">
        <v>1900</v>
      </c>
      <c r="C97">
        <v>26.02</v>
      </c>
      <c r="E97">
        <f t="shared" si="1"/>
        <v>37.919689476709735</v>
      </c>
      <c r="F97" s="4">
        <v>33.195517689316901</v>
      </c>
    </row>
    <row r="98" spans="1:6" x14ac:dyDescent="0.3">
      <c r="A98">
        <v>1100</v>
      </c>
      <c r="B98">
        <v>1100</v>
      </c>
      <c r="C98">
        <v>13.94</v>
      </c>
      <c r="E98">
        <f t="shared" si="1"/>
        <v>24.478699635842851</v>
      </c>
      <c r="F98" s="4">
        <v>28.3637414657289</v>
      </c>
    </row>
    <row r="99" spans="1:6" x14ac:dyDescent="0.3">
      <c r="A99">
        <v>1150</v>
      </c>
      <c r="B99">
        <v>1400</v>
      </c>
      <c r="C99">
        <v>15.36</v>
      </c>
      <c r="E99">
        <f t="shared" si="1"/>
        <v>27.166751384120445</v>
      </c>
      <c r="F99" s="4">
        <v>27.244357341917599</v>
      </c>
    </row>
    <row r="100" spans="1:6" x14ac:dyDescent="0.3">
      <c r="A100">
        <v>1200</v>
      </c>
      <c r="B100">
        <v>1550</v>
      </c>
      <c r="C100">
        <v>17.399999999999999</v>
      </c>
      <c r="E100">
        <f t="shared" si="1"/>
        <v>27.478301570745671</v>
      </c>
      <c r="F100" s="4">
        <v>24.0588958791182</v>
      </c>
    </row>
    <row r="101" spans="1:6" x14ac:dyDescent="0.3">
      <c r="A101">
        <v>1250</v>
      </c>
      <c r="B101">
        <v>1650</v>
      </c>
      <c r="C101">
        <v>15.01</v>
      </c>
      <c r="E101">
        <f t="shared" si="1"/>
        <v>27.121054851291362</v>
      </c>
      <c r="F101" s="4">
        <v>19.830706684675</v>
      </c>
    </row>
    <row r="102" spans="1:6" x14ac:dyDescent="0.3">
      <c r="A102">
        <v>300</v>
      </c>
      <c r="B102">
        <v>1400</v>
      </c>
      <c r="C102">
        <v>198.71</v>
      </c>
      <c r="E102">
        <f t="shared" si="1"/>
        <v>170.89156359665662</v>
      </c>
      <c r="F102" s="4">
        <v>166.98720927149299</v>
      </c>
    </row>
    <row r="103" spans="1:6" x14ac:dyDescent="0.3">
      <c r="A103">
        <v>350</v>
      </c>
      <c r="B103">
        <v>1250</v>
      </c>
      <c r="C103">
        <v>146.44</v>
      </c>
      <c r="E103">
        <f t="shared" si="1"/>
        <v>128.06113723996134</v>
      </c>
      <c r="F103" s="4">
        <v>158.57687463679599</v>
      </c>
    </row>
    <row r="104" spans="1:6" x14ac:dyDescent="0.3">
      <c r="A104">
        <v>400</v>
      </c>
      <c r="B104">
        <v>1600</v>
      </c>
      <c r="C104">
        <v>144.37</v>
      </c>
      <c r="E104">
        <f t="shared" si="1"/>
        <v>126.3029103141444</v>
      </c>
      <c r="F104" s="4">
        <v>106.221142217542</v>
      </c>
    </row>
    <row r="105" spans="1:6" x14ac:dyDescent="0.3">
      <c r="A105">
        <v>450</v>
      </c>
      <c r="B105">
        <v>1150</v>
      </c>
      <c r="C105">
        <v>96.67</v>
      </c>
      <c r="E105">
        <f t="shared" si="1"/>
        <v>85.755551376356152</v>
      </c>
      <c r="F105" s="4">
        <v>103.526338307442</v>
      </c>
    </row>
    <row r="106" spans="1:6" x14ac:dyDescent="0.3">
      <c r="A106">
        <v>500</v>
      </c>
      <c r="B106">
        <v>1000</v>
      </c>
      <c r="C106">
        <v>75.27</v>
      </c>
      <c r="E106">
        <f t="shared" si="1"/>
        <v>67.468803733600225</v>
      </c>
      <c r="F106" s="4">
        <v>60.821105005664897</v>
      </c>
    </row>
    <row r="107" spans="1:6" x14ac:dyDescent="0.3">
      <c r="A107">
        <v>550</v>
      </c>
      <c r="B107">
        <v>2050</v>
      </c>
      <c r="C107">
        <v>109.62</v>
      </c>
      <c r="E107">
        <f t="shared" si="1"/>
        <v>96.780118182408231</v>
      </c>
      <c r="F107" s="4">
        <v>108.17211994425</v>
      </c>
    </row>
    <row r="108" spans="1:6" x14ac:dyDescent="0.3">
      <c r="A108">
        <v>600</v>
      </c>
      <c r="B108">
        <v>1350</v>
      </c>
      <c r="C108">
        <v>71.75</v>
      </c>
      <c r="E108">
        <f t="shared" si="1"/>
        <v>64.55396974242062</v>
      </c>
      <c r="F108" s="4">
        <v>68.865584921132196</v>
      </c>
    </row>
    <row r="109" spans="1:6" x14ac:dyDescent="0.3">
      <c r="A109">
        <v>650</v>
      </c>
      <c r="B109">
        <v>1250</v>
      </c>
      <c r="C109">
        <v>60.52</v>
      </c>
      <c r="E109">
        <f t="shared" si="1"/>
        <v>54.88777927177297</v>
      </c>
      <c r="F109" s="4">
        <v>46.589844409989198</v>
      </c>
    </row>
    <row r="110" spans="1:6" x14ac:dyDescent="0.3">
      <c r="A110">
        <v>700</v>
      </c>
      <c r="B110">
        <v>1650</v>
      </c>
      <c r="C110">
        <v>64.28</v>
      </c>
      <c r="E110">
        <f t="shared" si="1"/>
        <v>59.970330641615618</v>
      </c>
      <c r="F110" s="4">
        <v>66.069240424891603</v>
      </c>
    </row>
    <row r="111" spans="1:6" x14ac:dyDescent="0.3">
      <c r="A111">
        <v>750</v>
      </c>
      <c r="B111">
        <v>1250</v>
      </c>
      <c r="C111">
        <v>49.38</v>
      </c>
      <c r="E111">
        <f t="shared" si="1"/>
        <v>45.125292983643703</v>
      </c>
      <c r="F111" s="4">
        <v>36.298274241997298</v>
      </c>
    </row>
    <row r="112" spans="1:6" x14ac:dyDescent="0.3">
      <c r="A112">
        <v>800</v>
      </c>
      <c r="B112">
        <v>1900</v>
      </c>
      <c r="C112">
        <v>60.73</v>
      </c>
      <c r="E112">
        <f t="shared" si="1"/>
        <v>55.016820814107504</v>
      </c>
      <c r="F112" s="4">
        <v>44.909879883405097</v>
      </c>
    </row>
    <row r="113" spans="1:6" x14ac:dyDescent="0.3">
      <c r="A113">
        <v>850</v>
      </c>
      <c r="B113">
        <v>1350</v>
      </c>
      <c r="C113">
        <v>43.65</v>
      </c>
      <c r="E113">
        <f t="shared" si="1"/>
        <v>40.077259245770534</v>
      </c>
      <c r="F113" s="4">
        <v>33.509764416809602</v>
      </c>
    </row>
    <row r="114" spans="1:6" x14ac:dyDescent="0.3">
      <c r="A114">
        <v>900</v>
      </c>
      <c r="B114">
        <v>1300</v>
      </c>
      <c r="C114">
        <v>39.159999999999997</v>
      </c>
      <c r="E114">
        <f t="shared" si="1"/>
        <v>36.116736061752427</v>
      </c>
      <c r="F114" s="4">
        <v>33.327391001060597</v>
      </c>
    </row>
    <row r="115" spans="1:6" x14ac:dyDescent="0.3">
      <c r="A115">
        <v>950</v>
      </c>
      <c r="B115">
        <v>1700</v>
      </c>
      <c r="C115">
        <v>43.85</v>
      </c>
      <c r="E115">
        <f t="shared" si="1"/>
        <v>40.299256019317788</v>
      </c>
      <c r="F115" s="4">
        <v>34.225182226690897</v>
      </c>
    </row>
    <row r="116" spans="1:6" x14ac:dyDescent="0.3">
      <c r="A116">
        <v>1000</v>
      </c>
      <c r="B116">
        <v>1550</v>
      </c>
      <c r="C116">
        <v>38.26</v>
      </c>
      <c r="E116">
        <f t="shared" si="1"/>
        <v>35.266092223282541</v>
      </c>
      <c r="F116" s="4">
        <v>31.603485656591499</v>
      </c>
    </row>
    <row r="117" spans="1:6" x14ac:dyDescent="0.3">
      <c r="A117">
        <v>1050</v>
      </c>
      <c r="B117">
        <v>1650</v>
      </c>
      <c r="C117">
        <v>37.24</v>
      </c>
      <c r="E117">
        <f t="shared" si="1"/>
        <v>34.430073208871647</v>
      </c>
      <c r="F117" s="4">
        <v>30.615650862619901</v>
      </c>
    </row>
    <row r="118" spans="1:6" x14ac:dyDescent="0.3">
      <c r="A118">
        <v>1100</v>
      </c>
      <c r="B118">
        <v>1500</v>
      </c>
      <c r="C118">
        <v>32.49</v>
      </c>
      <c r="E118">
        <f t="shared" si="1"/>
        <v>30.266526147381178</v>
      </c>
      <c r="F118" s="4">
        <v>28.600051799747</v>
      </c>
    </row>
    <row r="119" spans="1:6" x14ac:dyDescent="0.3">
      <c r="A119">
        <v>1150</v>
      </c>
      <c r="B119">
        <v>1250</v>
      </c>
      <c r="C119">
        <v>26.73</v>
      </c>
      <c r="E119">
        <f t="shared" si="1"/>
        <v>25.139568286806487</v>
      </c>
      <c r="F119" s="4">
        <v>27.757737081848799</v>
      </c>
    </row>
    <row r="120" spans="1:6" x14ac:dyDescent="0.3">
      <c r="A120">
        <v>1200</v>
      </c>
      <c r="B120">
        <v>1450</v>
      </c>
      <c r="C120">
        <v>27.95</v>
      </c>
      <c r="E120">
        <f t="shared" si="1"/>
        <v>26.252461389505385</v>
      </c>
      <c r="F120" s="4">
        <v>25.212579937993901</v>
      </c>
    </row>
    <row r="121" spans="1:6" x14ac:dyDescent="0.3">
      <c r="A121">
        <v>1250</v>
      </c>
      <c r="B121">
        <v>1750</v>
      </c>
      <c r="C121">
        <v>30.26</v>
      </c>
      <c r="E121">
        <f t="shared" si="1"/>
        <v>28.235354889448974</v>
      </c>
      <c r="F121" s="4">
        <v>18.595126562912</v>
      </c>
    </row>
    <row r="122" spans="1:6" x14ac:dyDescent="0.3">
      <c r="A122">
        <v>300</v>
      </c>
      <c r="B122">
        <v>1050</v>
      </c>
      <c r="C122">
        <v>247.53</v>
      </c>
      <c r="E122">
        <f t="shared" si="1"/>
        <v>140.35408134698378</v>
      </c>
      <c r="F122" s="4">
        <v>198.979306552282</v>
      </c>
    </row>
    <row r="123" spans="1:6" x14ac:dyDescent="0.3">
      <c r="A123">
        <v>350</v>
      </c>
      <c r="B123">
        <v>1150</v>
      </c>
      <c r="C123">
        <v>217.74199999999999</v>
      </c>
      <c r="E123">
        <f t="shared" si="1"/>
        <v>120.95877070760348</v>
      </c>
      <c r="F123" s="4">
        <v>164.81029955137001</v>
      </c>
    </row>
    <row r="124" spans="1:6" x14ac:dyDescent="0.3">
      <c r="A124">
        <v>400</v>
      </c>
      <c r="B124">
        <v>1250</v>
      </c>
      <c r="C124">
        <v>195.31</v>
      </c>
      <c r="E124">
        <f t="shared" si="1"/>
        <v>106.6717882300543</v>
      </c>
      <c r="F124" s="4">
        <v>135.02153122218999</v>
      </c>
    </row>
    <row r="125" spans="1:6" x14ac:dyDescent="0.3">
      <c r="A125">
        <v>450</v>
      </c>
      <c r="B125">
        <v>1400</v>
      </c>
      <c r="C125">
        <v>181.15</v>
      </c>
      <c r="E125">
        <f t="shared" si="1"/>
        <v>98.111999424736197</v>
      </c>
      <c r="F125" s="4">
        <v>109.32942949639801</v>
      </c>
    </row>
    <row r="126" spans="1:6" x14ac:dyDescent="0.3">
      <c r="A126">
        <v>500</v>
      </c>
      <c r="B126">
        <v>1450</v>
      </c>
      <c r="C126">
        <v>163.81</v>
      </c>
      <c r="E126">
        <f t="shared" si="1"/>
        <v>87.001578816286568</v>
      </c>
      <c r="F126" s="4">
        <v>97.774547909611897</v>
      </c>
    </row>
    <row r="127" spans="1:6" x14ac:dyDescent="0.3">
      <c r="A127">
        <v>550</v>
      </c>
      <c r="B127">
        <v>1300</v>
      </c>
      <c r="C127">
        <v>137.41</v>
      </c>
      <c r="E127">
        <f t="shared" si="1"/>
        <v>70.86379669508095</v>
      </c>
      <c r="F127" s="4">
        <v>78.726016356923793</v>
      </c>
    </row>
    <row r="128" spans="1:6" x14ac:dyDescent="0.3">
      <c r="A128">
        <v>600</v>
      </c>
      <c r="B128">
        <v>1450</v>
      </c>
      <c r="C128">
        <v>131.94</v>
      </c>
      <c r="E128">
        <f t="shared" si="1"/>
        <v>67.789070722914303</v>
      </c>
      <c r="F128" s="4">
        <v>78.644528640812894</v>
      </c>
    </row>
    <row r="129" spans="1:6" x14ac:dyDescent="0.3">
      <c r="A129">
        <v>650</v>
      </c>
      <c r="B129">
        <v>1350</v>
      </c>
      <c r="C129">
        <v>115.29</v>
      </c>
      <c r="E129">
        <f t="shared" si="1"/>
        <v>57.855884266747239</v>
      </c>
      <c r="F129" s="4">
        <v>55.2110105424997</v>
      </c>
    </row>
    <row r="130" spans="1:6" x14ac:dyDescent="0.3">
      <c r="A130">
        <v>700</v>
      </c>
      <c r="B130">
        <v>1650</v>
      </c>
      <c r="C130">
        <v>118.47</v>
      </c>
      <c r="E130">
        <f t="shared" si="1"/>
        <v>59.970330641615618</v>
      </c>
      <c r="F130" s="4">
        <v>66.069240424891603</v>
      </c>
    </row>
    <row r="131" spans="1:6" x14ac:dyDescent="0.3">
      <c r="A131">
        <v>750</v>
      </c>
      <c r="B131">
        <v>1500</v>
      </c>
      <c r="C131">
        <v>103.57</v>
      </c>
      <c r="E131">
        <f t="shared" si="1"/>
        <v>51.1215203615238</v>
      </c>
      <c r="F131" s="4">
        <v>46.191813340624499</v>
      </c>
    </row>
    <row r="132" spans="1:6" x14ac:dyDescent="0.3">
      <c r="A132">
        <v>800</v>
      </c>
      <c r="B132">
        <v>1100</v>
      </c>
      <c r="C132">
        <v>79.86</v>
      </c>
      <c r="E132">
        <f t="shared" ref="E132:E195" si="2">2951.3*(A132/(B132^(1/2)))^(-1.3686)</f>
        <v>37.850307846949931</v>
      </c>
      <c r="F132" s="4">
        <v>39.1511937134755</v>
      </c>
    </row>
    <row r="133" spans="1:6" x14ac:dyDescent="0.3">
      <c r="A133">
        <v>850</v>
      </c>
      <c r="B133">
        <v>1000</v>
      </c>
      <c r="C133">
        <v>70.28</v>
      </c>
      <c r="E133">
        <f t="shared" si="2"/>
        <v>32.637028904190899</v>
      </c>
      <c r="F133" s="4">
        <v>41.542358895979902</v>
      </c>
    </row>
    <row r="134" spans="1:6" x14ac:dyDescent="0.3">
      <c r="A134">
        <v>900</v>
      </c>
      <c r="B134">
        <v>1300</v>
      </c>
      <c r="C134">
        <v>76.87</v>
      </c>
      <c r="E134">
        <f t="shared" si="2"/>
        <v>36.116736061752427</v>
      </c>
      <c r="F134" s="4">
        <v>33.327391001060597</v>
      </c>
    </row>
    <row r="135" spans="1:6" x14ac:dyDescent="0.3">
      <c r="A135">
        <v>950</v>
      </c>
      <c r="B135">
        <v>1200</v>
      </c>
      <c r="C135">
        <v>68.66</v>
      </c>
      <c r="E135">
        <f t="shared" si="2"/>
        <v>31.752985005329716</v>
      </c>
      <c r="F135" s="4">
        <v>33.092566650318098</v>
      </c>
    </row>
    <row r="136" spans="1:6" x14ac:dyDescent="0.3">
      <c r="A136">
        <v>1000</v>
      </c>
      <c r="B136">
        <v>1700</v>
      </c>
      <c r="C136">
        <v>79.37</v>
      </c>
      <c r="E136">
        <f t="shared" si="2"/>
        <v>37.567262953826486</v>
      </c>
      <c r="F136" s="4">
        <v>32.577895076931703</v>
      </c>
    </row>
    <row r="137" spans="1:6" x14ac:dyDescent="0.3">
      <c r="A137">
        <v>1050</v>
      </c>
      <c r="B137">
        <v>1600</v>
      </c>
      <c r="C137">
        <v>72.260000000000005</v>
      </c>
      <c r="E137">
        <f t="shared" si="2"/>
        <v>33.712657409666612</v>
      </c>
      <c r="F137" s="4">
        <v>30.4207566880062</v>
      </c>
    </row>
    <row r="138" spans="1:6" x14ac:dyDescent="0.3">
      <c r="A138">
        <v>1100</v>
      </c>
      <c r="B138">
        <v>1100</v>
      </c>
      <c r="C138">
        <v>54.88</v>
      </c>
      <c r="E138">
        <f t="shared" si="2"/>
        <v>24.478699635842851</v>
      </c>
      <c r="F138" s="4">
        <v>28.3637414657289</v>
      </c>
    </row>
    <row r="139" spans="1:6" x14ac:dyDescent="0.3">
      <c r="A139">
        <v>1150</v>
      </c>
      <c r="B139">
        <v>1050</v>
      </c>
      <c r="C139">
        <v>50.59</v>
      </c>
      <c r="E139">
        <f t="shared" si="2"/>
        <v>22.312186473403681</v>
      </c>
      <c r="F139" s="4">
        <v>27.485112693670601</v>
      </c>
    </row>
    <row r="140" spans="1:6" x14ac:dyDescent="0.3">
      <c r="A140">
        <v>1200</v>
      </c>
      <c r="B140">
        <v>1350</v>
      </c>
      <c r="C140">
        <v>55.9</v>
      </c>
      <c r="E140">
        <f t="shared" si="2"/>
        <v>24.999613951476508</v>
      </c>
      <c r="F140" s="4">
        <v>26.264500148727301</v>
      </c>
    </row>
    <row r="141" spans="1:6" x14ac:dyDescent="0.3">
      <c r="A141">
        <v>1250</v>
      </c>
      <c r="B141">
        <v>1250</v>
      </c>
      <c r="C141">
        <v>50.84</v>
      </c>
      <c r="E141">
        <f t="shared" si="2"/>
        <v>22.428376398752359</v>
      </c>
      <c r="F141" s="4">
        <v>26.5020139016661</v>
      </c>
    </row>
    <row r="142" spans="1:6" x14ac:dyDescent="0.3">
      <c r="A142">
        <v>300</v>
      </c>
      <c r="B142">
        <v>1550</v>
      </c>
      <c r="C142">
        <v>138.28</v>
      </c>
      <c r="E142">
        <f t="shared" si="2"/>
        <v>183.21844363920394</v>
      </c>
      <c r="F142" s="4">
        <v>166.48771715491</v>
      </c>
    </row>
    <row r="143" spans="1:6" x14ac:dyDescent="0.3">
      <c r="A143">
        <v>350</v>
      </c>
      <c r="B143">
        <v>1600</v>
      </c>
      <c r="C143">
        <v>105.96</v>
      </c>
      <c r="E143">
        <f t="shared" si="2"/>
        <v>151.6286039628713</v>
      </c>
      <c r="F143" s="4">
        <v>132.92762620886799</v>
      </c>
    </row>
    <row r="144" spans="1:6" x14ac:dyDescent="0.3">
      <c r="A144">
        <v>400</v>
      </c>
      <c r="B144">
        <v>1650</v>
      </c>
      <c r="C144">
        <v>84.19</v>
      </c>
      <c r="E144">
        <f t="shared" si="2"/>
        <v>128.99067539429993</v>
      </c>
      <c r="F144" s="4">
        <v>108.071566580744</v>
      </c>
    </row>
    <row r="145" spans="1:6" x14ac:dyDescent="0.3">
      <c r="A145">
        <v>450</v>
      </c>
      <c r="B145">
        <v>1450</v>
      </c>
      <c r="C145">
        <v>59.22</v>
      </c>
      <c r="E145">
        <f t="shared" si="2"/>
        <v>100.49647653515673</v>
      </c>
      <c r="F145" s="4">
        <v>104.456097720047</v>
      </c>
    </row>
    <row r="146" spans="1:6" x14ac:dyDescent="0.3">
      <c r="A146">
        <v>500</v>
      </c>
      <c r="B146">
        <v>1950</v>
      </c>
      <c r="C146">
        <v>64.510000000000005</v>
      </c>
      <c r="E146">
        <f t="shared" si="2"/>
        <v>106.55496590464796</v>
      </c>
      <c r="F146" s="4">
        <v>108.22222487245099</v>
      </c>
    </row>
    <row r="147" spans="1:6" x14ac:dyDescent="0.3">
      <c r="A147">
        <v>550</v>
      </c>
      <c r="B147">
        <v>1750</v>
      </c>
      <c r="C147">
        <v>48.27</v>
      </c>
      <c r="E147">
        <f t="shared" si="2"/>
        <v>86.848819113243039</v>
      </c>
      <c r="F147" s="4">
        <v>73.125883116812602</v>
      </c>
    </row>
    <row r="148" spans="1:6" x14ac:dyDescent="0.3">
      <c r="A148">
        <v>600</v>
      </c>
      <c r="B148">
        <v>1550</v>
      </c>
      <c r="C148">
        <v>36.21</v>
      </c>
      <c r="E148">
        <f t="shared" si="2"/>
        <v>70.954433601014046</v>
      </c>
      <c r="F148" s="4">
        <v>82.513257743113101</v>
      </c>
    </row>
    <row r="149" spans="1:6" x14ac:dyDescent="0.3">
      <c r="A149">
        <v>650</v>
      </c>
      <c r="B149">
        <v>1250</v>
      </c>
      <c r="C149">
        <v>25.24</v>
      </c>
      <c r="E149">
        <f t="shared" si="2"/>
        <v>54.88777927177297</v>
      </c>
      <c r="F149" s="4">
        <v>46.589844409989198</v>
      </c>
    </row>
    <row r="150" spans="1:6" x14ac:dyDescent="0.3">
      <c r="A150">
        <v>700</v>
      </c>
      <c r="B150">
        <v>1350</v>
      </c>
      <c r="C150">
        <v>23.5</v>
      </c>
      <c r="E150">
        <f t="shared" si="2"/>
        <v>52.275666426653551</v>
      </c>
      <c r="F150" s="4">
        <v>44.707814019602502</v>
      </c>
    </row>
    <row r="151" spans="1:6" x14ac:dyDescent="0.3">
      <c r="A151">
        <v>750</v>
      </c>
      <c r="B151">
        <v>1450</v>
      </c>
      <c r="C151">
        <v>22.11</v>
      </c>
      <c r="E151">
        <f t="shared" si="2"/>
        <v>49.949211483144538</v>
      </c>
      <c r="F151" s="4">
        <v>42.918523243228698</v>
      </c>
    </row>
    <row r="152" spans="1:6" x14ac:dyDescent="0.3">
      <c r="A152">
        <v>800</v>
      </c>
      <c r="B152">
        <v>1450</v>
      </c>
      <c r="C152">
        <v>19.45</v>
      </c>
      <c r="E152">
        <f t="shared" si="2"/>
        <v>45.726559456725631</v>
      </c>
      <c r="F152" s="4">
        <v>36.924854444596697</v>
      </c>
    </row>
    <row r="153" spans="1:6" x14ac:dyDescent="0.3">
      <c r="A153">
        <v>850</v>
      </c>
      <c r="B153">
        <v>1500</v>
      </c>
      <c r="C153">
        <v>18</v>
      </c>
      <c r="E153">
        <f t="shared" si="2"/>
        <v>43.073470468260872</v>
      </c>
      <c r="F153" s="4">
        <v>34.895392358276901</v>
      </c>
    </row>
    <row r="154" spans="1:6" x14ac:dyDescent="0.3">
      <c r="A154">
        <v>900</v>
      </c>
      <c r="B154">
        <v>1600</v>
      </c>
      <c r="C154">
        <v>17</v>
      </c>
      <c r="E154">
        <f t="shared" si="2"/>
        <v>41.630954038887133</v>
      </c>
      <c r="F154" s="4">
        <v>34.541347645376</v>
      </c>
    </row>
    <row r="155" spans="1:6" x14ac:dyDescent="0.3">
      <c r="A155">
        <v>950</v>
      </c>
      <c r="B155">
        <v>1350</v>
      </c>
      <c r="C155">
        <v>13.07</v>
      </c>
      <c r="E155">
        <f t="shared" si="2"/>
        <v>34.418205985198504</v>
      </c>
      <c r="F155" s="4">
        <v>32.362874645443398</v>
      </c>
    </row>
    <row r="156" spans="1:6" x14ac:dyDescent="0.3">
      <c r="A156">
        <v>1000</v>
      </c>
      <c r="B156">
        <v>1250</v>
      </c>
      <c r="C156">
        <v>10.98</v>
      </c>
      <c r="E156">
        <f t="shared" si="2"/>
        <v>30.438894804339942</v>
      </c>
      <c r="F156" s="4">
        <v>31.434695076814201</v>
      </c>
    </row>
    <row r="157" spans="1:6" x14ac:dyDescent="0.3">
      <c r="A157">
        <v>1050</v>
      </c>
      <c r="B157">
        <v>1050</v>
      </c>
      <c r="C157">
        <v>8.35</v>
      </c>
      <c r="E157">
        <f t="shared" si="2"/>
        <v>25.270481703383751</v>
      </c>
      <c r="F157" s="4">
        <v>29.567901858898701</v>
      </c>
    </row>
    <row r="158" spans="1:6" x14ac:dyDescent="0.3">
      <c r="A158">
        <v>1100</v>
      </c>
      <c r="B158">
        <v>1100</v>
      </c>
      <c r="C158">
        <v>8</v>
      </c>
      <c r="E158">
        <f t="shared" si="2"/>
        <v>24.478699635842851</v>
      </c>
      <c r="F158" s="4">
        <v>28.3637414657289</v>
      </c>
    </row>
    <row r="159" spans="1:6" x14ac:dyDescent="0.3">
      <c r="A159">
        <v>1150</v>
      </c>
      <c r="B159">
        <v>1250</v>
      </c>
      <c r="C159">
        <v>8.33</v>
      </c>
      <c r="E159">
        <f t="shared" si="2"/>
        <v>25.139568286806487</v>
      </c>
      <c r="F159" s="4">
        <v>27.757737081848799</v>
      </c>
    </row>
    <row r="160" spans="1:6" x14ac:dyDescent="0.3">
      <c r="A160">
        <v>1200</v>
      </c>
      <c r="B160">
        <v>1600</v>
      </c>
      <c r="C160">
        <v>9.75</v>
      </c>
      <c r="E160">
        <f t="shared" si="2"/>
        <v>28.081817242789093</v>
      </c>
      <c r="F160" s="4">
        <v>23.5204403929948</v>
      </c>
    </row>
    <row r="161" spans="1:6" x14ac:dyDescent="0.3">
      <c r="A161">
        <v>1250</v>
      </c>
      <c r="B161">
        <v>1750</v>
      </c>
      <c r="C161">
        <v>9.98</v>
      </c>
      <c r="E161">
        <f t="shared" si="2"/>
        <v>28.235354889448974</v>
      </c>
      <c r="F161" s="4">
        <v>18.595126562912</v>
      </c>
    </row>
    <row r="162" spans="1:6" x14ac:dyDescent="0.3">
      <c r="A162">
        <v>300</v>
      </c>
      <c r="B162">
        <v>1200</v>
      </c>
      <c r="C162">
        <v>183.69</v>
      </c>
      <c r="E162">
        <f t="shared" si="2"/>
        <v>153.78321473268849</v>
      </c>
      <c r="F162" s="4">
        <v>190.80140489920899</v>
      </c>
    </row>
    <row r="163" spans="1:6" x14ac:dyDescent="0.3">
      <c r="A163">
        <v>350</v>
      </c>
      <c r="B163">
        <v>1150</v>
      </c>
      <c r="C163">
        <v>144.06</v>
      </c>
      <c r="E163">
        <f t="shared" si="2"/>
        <v>120.95877070760348</v>
      </c>
      <c r="F163" s="4">
        <v>164.81029955137001</v>
      </c>
    </row>
    <row r="164" spans="1:6" x14ac:dyDescent="0.3">
      <c r="A164">
        <v>400</v>
      </c>
      <c r="B164">
        <v>1800</v>
      </c>
      <c r="C164">
        <v>163.19</v>
      </c>
      <c r="E164">
        <f t="shared" si="2"/>
        <v>136.90428106184723</v>
      </c>
      <c r="F164" s="4">
        <v>125.171604236744</v>
      </c>
    </row>
    <row r="165" spans="1:6" x14ac:dyDescent="0.3">
      <c r="A165">
        <v>450</v>
      </c>
      <c r="B165">
        <v>1850</v>
      </c>
      <c r="C165">
        <v>141.31</v>
      </c>
      <c r="E165">
        <f t="shared" si="2"/>
        <v>118.72777395421866</v>
      </c>
      <c r="F165" s="4">
        <v>109.884360301454</v>
      </c>
    </row>
    <row r="166" spans="1:6" x14ac:dyDescent="0.3">
      <c r="A166">
        <v>500</v>
      </c>
      <c r="B166">
        <v>1950</v>
      </c>
      <c r="C166">
        <v>126.9</v>
      </c>
      <c r="E166">
        <f t="shared" si="2"/>
        <v>106.55496590464796</v>
      </c>
      <c r="F166" s="4">
        <v>108.22222487245099</v>
      </c>
    </row>
    <row r="167" spans="1:6" x14ac:dyDescent="0.3">
      <c r="A167">
        <v>550</v>
      </c>
      <c r="B167">
        <v>1450</v>
      </c>
      <c r="C167">
        <v>90.52</v>
      </c>
      <c r="E167">
        <f t="shared" si="2"/>
        <v>76.361966666879226</v>
      </c>
      <c r="F167" s="4">
        <v>89.855682269784296</v>
      </c>
    </row>
    <row r="168" spans="1:6" x14ac:dyDescent="0.3">
      <c r="A168">
        <v>600</v>
      </c>
      <c r="B168">
        <v>1350</v>
      </c>
      <c r="C168">
        <v>76.510000000000005</v>
      </c>
      <c r="E168">
        <f t="shared" si="2"/>
        <v>64.55396974242062</v>
      </c>
      <c r="F168" s="4">
        <v>68.865584921132196</v>
      </c>
    </row>
    <row r="169" spans="1:6" x14ac:dyDescent="0.3">
      <c r="A169">
        <v>650</v>
      </c>
      <c r="B169">
        <v>1450</v>
      </c>
      <c r="C169">
        <v>71.97</v>
      </c>
      <c r="E169">
        <f t="shared" si="2"/>
        <v>60.75531289469248</v>
      </c>
      <c r="F169" s="4">
        <v>65.333798487167101</v>
      </c>
    </row>
    <row r="170" spans="1:6" x14ac:dyDescent="0.3">
      <c r="A170">
        <v>700</v>
      </c>
      <c r="B170">
        <v>1500</v>
      </c>
      <c r="C170">
        <v>66.52</v>
      </c>
      <c r="E170">
        <f t="shared" si="2"/>
        <v>56.183841320804596</v>
      </c>
      <c r="F170" s="4">
        <v>57.022225557891304</v>
      </c>
    </row>
    <row r="171" spans="1:6" x14ac:dyDescent="0.3">
      <c r="A171">
        <v>750</v>
      </c>
      <c r="B171">
        <v>1750</v>
      </c>
      <c r="C171">
        <v>67.260000000000005</v>
      </c>
      <c r="E171">
        <f t="shared" si="2"/>
        <v>56.808778274044776</v>
      </c>
      <c r="F171" s="4">
        <v>57.696795163854603</v>
      </c>
    </row>
    <row r="172" spans="1:6" x14ac:dyDescent="0.3">
      <c r="A172">
        <v>800</v>
      </c>
      <c r="B172">
        <v>1650</v>
      </c>
      <c r="C172">
        <v>59.02</v>
      </c>
      <c r="E172">
        <f t="shared" si="2"/>
        <v>49.953815405385413</v>
      </c>
      <c r="F172" s="4">
        <v>46.424363407516402</v>
      </c>
    </row>
    <row r="173" spans="1:6" x14ac:dyDescent="0.3">
      <c r="A173">
        <v>850</v>
      </c>
      <c r="B173">
        <v>1700</v>
      </c>
      <c r="C173">
        <v>55.49</v>
      </c>
      <c r="E173">
        <f t="shared" si="2"/>
        <v>46.925273548320384</v>
      </c>
      <c r="F173" s="4">
        <v>41.432400231582001</v>
      </c>
    </row>
    <row r="174" spans="1:6" x14ac:dyDescent="0.3">
      <c r="A174">
        <v>900</v>
      </c>
      <c r="B174">
        <v>1750</v>
      </c>
      <c r="C174">
        <v>52.42</v>
      </c>
      <c r="E174">
        <f t="shared" si="2"/>
        <v>44.263728779375654</v>
      </c>
      <c r="F174" s="4">
        <v>38.043759255442801</v>
      </c>
    </row>
    <row r="175" spans="1:6" x14ac:dyDescent="0.3">
      <c r="A175">
        <v>950</v>
      </c>
      <c r="B175">
        <v>1600</v>
      </c>
      <c r="C175">
        <v>45.55</v>
      </c>
      <c r="E175">
        <f t="shared" si="2"/>
        <v>38.66162782261403</v>
      </c>
      <c r="F175" s="4">
        <v>32.952221254464497</v>
      </c>
    </row>
    <row r="176" spans="1:6" x14ac:dyDescent="0.3">
      <c r="A176">
        <v>1000</v>
      </c>
      <c r="B176">
        <v>1850</v>
      </c>
      <c r="C176">
        <v>46.77</v>
      </c>
      <c r="E176">
        <f t="shared" si="2"/>
        <v>39.805123121488812</v>
      </c>
      <c r="F176" s="4">
        <v>34.462877149273098</v>
      </c>
    </row>
    <row r="177" spans="1:6" x14ac:dyDescent="0.3">
      <c r="A177">
        <v>1050</v>
      </c>
      <c r="B177">
        <v>1400</v>
      </c>
      <c r="C177">
        <v>36.119999999999997</v>
      </c>
      <c r="E177">
        <f t="shared" si="2"/>
        <v>30.768696497365909</v>
      </c>
      <c r="F177" s="4">
        <v>30.169198936067101</v>
      </c>
    </row>
    <row r="178" spans="1:6" x14ac:dyDescent="0.3">
      <c r="A178">
        <v>1100</v>
      </c>
      <c r="B178">
        <v>1450</v>
      </c>
      <c r="C178">
        <v>34.93</v>
      </c>
      <c r="E178">
        <f t="shared" si="2"/>
        <v>29.572459987584843</v>
      </c>
      <c r="F178" s="4">
        <v>28.672606099417699</v>
      </c>
    </row>
    <row r="179" spans="1:6" x14ac:dyDescent="0.3">
      <c r="A179">
        <v>1150</v>
      </c>
      <c r="B179">
        <v>1350</v>
      </c>
      <c r="C179">
        <v>31.35</v>
      </c>
      <c r="E179">
        <f t="shared" si="2"/>
        <v>26.499012578296362</v>
      </c>
      <c r="F179" s="4">
        <v>27.4731015943518</v>
      </c>
    </row>
    <row r="180" spans="1:6" x14ac:dyDescent="0.3">
      <c r="A180">
        <v>1200</v>
      </c>
      <c r="B180">
        <v>1800</v>
      </c>
      <c r="C180">
        <v>35.869999999999997</v>
      </c>
      <c r="E180">
        <f t="shared" si="2"/>
        <v>30.438894804339942</v>
      </c>
      <c r="F180" s="4">
        <v>22.5220427286107</v>
      </c>
    </row>
    <row r="181" spans="1:6" x14ac:dyDescent="0.3">
      <c r="A181">
        <v>1250</v>
      </c>
      <c r="B181">
        <v>1950</v>
      </c>
      <c r="C181">
        <v>35.68</v>
      </c>
      <c r="E181">
        <f t="shared" si="2"/>
        <v>30.405559444233525</v>
      </c>
      <c r="F181" s="4">
        <v>18.974876319695799</v>
      </c>
    </row>
    <row r="182" spans="1:6" x14ac:dyDescent="0.3">
      <c r="A182">
        <v>300</v>
      </c>
      <c r="B182">
        <v>850</v>
      </c>
      <c r="C182">
        <v>144.74</v>
      </c>
      <c r="E182">
        <f t="shared" si="2"/>
        <v>121.45812696741652</v>
      </c>
      <c r="F182" s="4">
        <v>169.702863515606</v>
      </c>
    </row>
    <row r="183" spans="1:6" x14ac:dyDescent="0.3">
      <c r="A183">
        <v>350</v>
      </c>
      <c r="B183">
        <v>750</v>
      </c>
      <c r="C183">
        <v>107.13</v>
      </c>
      <c r="E183">
        <f t="shared" si="2"/>
        <v>90.283056777562308</v>
      </c>
      <c r="F183" s="4">
        <v>104.123059745204</v>
      </c>
    </row>
    <row r="184" spans="1:6" x14ac:dyDescent="0.3">
      <c r="A184">
        <v>400</v>
      </c>
      <c r="B184">
        <v>1300</v>
      </c>
      <c r="C184">
        <v>129.91</v>
      </c>
      <c r="E184">
        <f t="shared" si="2"/>
        <v>109.57348878880236</v>
      </c>
      <c r="F184" s="4">
        <v>132.11114893331401</v>
      </c>
    </row>
    <row r="185" spans="1:6" x14ac:dyDescent="0.3">
      <c r="A185">
        <v>450</v>
      </c>
      <c r="B185">
        <v>1100</v>
      </c>
      <c r="C185">
        <v>98.97</v>
      </c>
      <c r="E185">
        <f t="shared" si="2"/>
        <v>83.186284286035075</v>
      </c>
      <c r="F185" s="4">
        <v>96.928962834024304</v>
      </c>
    </row>
    <row r="186" spans="1:6" x14ac:dyDescent="0.3">
      <c r="A186">
        <v>500</v>
      </c>
      <c r="B186">
        <v>650</v>
      </c>
      <c r="C186">
        <v>59.54</v>
      </c>
      <c r="E186">
        <f t="shared" si="2"/>
        <v>50.243469317120073</v>
      </c>
      <c r="F186" s="4">
        <v>56.198978415796198</v>
      </c>
    </row>
    <row r="187" spans="1:6" x14ac:dyDescent="0.3">
      <c r="A187">
        <v>550</v>
      </c>
      <c r="B187">
        <v>1500</v>
      </c>
      <c r="C187">
        <v>92.78</v>
      </c>
      <c r="E187">
        <f t="shared" si="2"/>
        <v>78.154183377333027</v>
      </c>
      <c r="F187" s="4">
        <v>89.742577923058903</v>
      </c>
    </row>
    <row r="188" spans="1:6" x14ac:dyDescent="0.3">
      <c r="A188">
        <v>600</v>
      </c>
      <c r="B188">
        <v>1750</v>
      </c>
      <c r="C188">
        <v>91.49</v>
      </c>
      <c r="E188">
        <f t="shared" si="2"/>
        <v>77.098600233181088</v>
      </c>
      <c r="F188" s="4">
        <v>69.7899860381482</v>
      </c>
    </row>
    <row r="189" spans="1:6" x14ac:dyDescent="0.3">
      <c r="A189">
        <v>650</v>
      </c>
      <c r="B189">
        <v>950</v>
      </c>
      <c r="C189">
        <v>53.94</v>
      </c>
      <c r="E189">
        <f t="shared" si="2"/>
        <v>45.490048622253234</v>
      </c>
      <c r="F189" s="4">
        <v>46.582840659970103</v>
      </c>
    </row>
    <row r="190" spans="1:6" x14ac:dyDescent="0.3">
      <c r="A190">
        <v>700</v>
      </c>
      <c r="B190">
        <v>1000</v>
      </c>
      <c r="C190">
        <v>50.24</v>
      </c>
      <c r="E190">
        <f t="shared" si="2"/>
        <v>42.570836136520171</v>
      </c>
      <c r="F190" s="4">
        <v>44.5855899327684</v>
      </c>
    </row>
    <row r="191" spans="1:6" x14ac:dyDescent="0.3">
      <c r="A191">
        <v>750</v>
      </c>
      <c r="B191">
        <v>1300</v>
      </c>
      <c r="C191">
        <v>54.8</v>
      </c>
      <c r="E191">
        <f t="shared" si="2"/>
        <v>46.352797369169878</v>
      </c>
      <c r="F191" s="4">
        <v>36.7759261301713</v>
      </c>
    </row>
    <row r="192" spans="1:6" x14ac:dyDescent="0.3">
      <c r="A192">
        <v>800</v>
      </c>
      <c r="B192">
        <v>950</v>
      </c>
      <c r="C192">
        <v>40.479999999999997</v>
      </c>
      <c r="E192">
        <f t="shared" si="2"/>
        <v>34.237391166436041</v>
      </c>
      <c r="F192" s="4">
        <v>46.763616265718603</v>
      </c>
    </row>
    <row r="193" spans="1:6" x14ac:dyDescent="0.3">
      <c r="A193">
        <v>850</v>
      </c>
      <c r="B193">
        <v>950</v>
      </c>
      <c r="C193">
        <v>37.229999999999997</v>
      </c>
      <c r="E193">
        <f t="shared" si="2"/>
        <v>31.511340546299227</v>
      </c>
      <c r="F193" s="4">
        <v>43.598064961941503</v>
      </c>
    </row>
    <row r="194" spans="1:6" x14ac:dyDescent="0.3">
      <c r="A194">
        <v>900</v>
      </c>
      <c r="B194">
        <v>1200</v>
      </c>
      <c r="C194">
        <v>40.130000000000003</v>
      </c>
      <c r="E194">
        <f t="shared" si="2"/>
        <v>34.191707225041888</v>
      </c>
      <c r="F194" s="4">
        <v>34.484336917204097</v>
      </c>
    </row>
    <row r="195" spans="1:6" x14ac:dyDescent="0.3">
      <c r="A195">
        <v>950</v>
      </c>
      <c r="B195">
        <v>1550</v>
      </c>
      <c r="C195">
        <v>44.51</v>
      </c>
      <c r="E195">
        <f t="shared" si="2"/>
        <v>37.830737923433837</v>
      </c>
      <c r="F195" s="4">
        <v>32.561107801932998</v>
      </c>
    </row>
    <row r="196" spans="1:6" x14ac:dyDescent="0.3">
      <c r="A196">
        <v>1000</v>
      </c>
      <c r="B196">
        <v>850</v>
      </c>
      <c r="C196">
        <v>27.47</v>
      </c>
      <c r="E196">
        <f t="shared" ref="E196:E201" si="3">2951.3*(A196/(B196^(1/2)))^(-1.3686)</f>
        <v>23.378396966054925</v>
      </c>
      <c r="F196" s="4">
        <v>32.782366948542801</v>
      </c>
    </row>
    <row r="197" spans="1:6" x14ac:dyDescent="0.3">
      <c r="A197">
        <v>1050</v>
      </c>
      <c r="B197">
        <v>1400</v>
      </c>
      <c r="C197">
        <v>36.11</v>
      </c>
      <c r="E197">
        <f t="shared" si="3"/>
        <v>30.768696497365909</v>
      </c>
      <c r="F197" s="4">
        <v>30.169198936067101</v>
      </c>
    </row>
    <row r="198" spans="1:6" x14ac:dyDescent="0.3">
      <c r="A198">
        <v>1100</v>
      </c>
      <c r="B198">
        <v>1400</v>
      </c>
      <c r="C198">
        <v>34.17</v>
      </c>
      <c r="E198">
        <f t="shared" si="3"/>
        <v>28.870795049963327</v>
      </c>
      <c r="F198" s="4">
        <v>28.7386110643472</v>
      </c>
    </row>
    <row r="199" spans="1:6" x14ac:dyDescent="0.3">
      <c r="A199">
        <v>1150</v>
      </c>
      <c r="B199">
        <v>700</v>
      </c>
      <c r="C199">
        <v>19.690000000000001</v>
      </c>
      <c r="E199">
        <f t="shared" si="3"/>
        <v>16.906078542818076</v>
      </c>
      <c r="F199" s="4">
        <v>25.500742513757199</v>
      </c>
    </row>
    <row r="200" spans="1:6" x14ac:dyDescent="0.3">
      <c r="A200">
        <v>1200</v>
      </c>
      <c r="B200">
        <v>1600</v>
      </c>
      <c r="C200">
        <v>33.07</v>
      </c>
      <c r="E200">
        <f t="shared" si="3"/>
        <v>28.081817242789093</v>
      </c>
      <c r="F200" s="4">
        <v>23.5204403929948</v>
      </c>
    </row>
    <row r="201" spans="1:6" x14ac:dyDescent="0.3">
      <c r="A201">
        <v>1250</v>
      </c>
      <c r="B201">
        <v>1000</v>
      </c>
      <c r="C201">
        <v>22.81</v>
      </c>
      <c r="E201">
        <f t="shared" si="3"/>
        <v>19.252286415154501</v>
      </c>
      <c r="F201" s="4">
        <v>27.857439408859999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2CD17-A5D6-4C4D-84FF-699539432890}">
  <dimension ref="A1:C31"/>
  <sheetViews>
    <sheetView workbookViewId="0"/>
  </sheetViews>
  <sheetFormatPr defaultRowHeight="14.4" x14ac:dyDescent="0.3"/>
  <cols>
    <col min="1" max="2" width="36.6640625" customWidth="1"/>
  </cols>
  <sheetData>
    <row r="1" spans="1:3" x14ac:dyDescent="0.3">
      <c r="A1" s="1" t="s">
        <v>0</v>
      </c>
    </row>
    <row r="3" spans="1:3" x14ac:dyDescent="0.3">
      <c r="A3" t="s">
        <v>1</v>
      </c>
      <c r="B3" t="s">
        <v>2</v>
      </c>
      <c r="C3">
        <v>0</v>
      </c>
    </row>
    <row r="4" spans="1:3" x14ac:dyDescent="0.3">
      <c r="A4" t="s">
        <v>3</v>
      </c>
    </row>
    <row r="5" spans="1:3" x14ac:dyDescent="0.3">
      <c r="A5" t="s">
        <v>4</v>
      </c>
    </row>
    <row r="7" spans="1:3" x14ac:dyDescent="0.3">
      <c r="A7" s="1" t="s">
        <v>5</v>
      </c>
      <c r="B7" t="s">
        <v>6</v>
      </c>
    </row>
    <row r="8" spans="1:3" x14ac:dyDescent="0.3">
      <c r="B8">
        <v>2</v>
      </c>
    </row>
    <row r="10" spans="1:3" x14ac:dyDescent="0.3">
      <c r="A10" t="s">
        <v>7</v>
      </c>
    </row>
    <row r="11" spans="1:3" x14ac:dyDescent="0.3">
      <c r="A11" t="e">
        <f>CB_DATA_!#REF!</f>
        <v>#REF!</v>
      </c>
      <c r="B11" t="e">
        <f>#REF!</f>
        <v>#REF!</v>
      </c>
    </row>
    <row r="13" spans="1:3" x14ac:dyDescent="0.3">
      <c r="A13" t="s">
        <v>8</v>
      </c>
    </row>
    <row r="14" spans="1:3" x14ac:dyDescent="0.3">
      <c r="A14" t="s">
        <v>12</v>
      </c>
      <c r="B14" t="s">
        <v>16</v>
      </c>
    </row>
    <row r="16" spans="1:3" x14ac:dyDescent="0.3">
      <c r="A16" t="s">
        <v>9</v>
      </c>
    </row>
    <row r="19" spans="1:2" x14ac:dyDescent="0.3">
      <c r="A19" t="s">
        <v>10</v>
      </c>
    </row>
    <row r="20" spans="1:2" x14ac:dyDescent="0.3">
      <c r="A20">
        <v>31</v>
      </c>
      <c r="B20">
        <v>31</v>
      </c>
    </row>
    <row r="25" spans="1:2" x14ac:dyDescent="0.3">
      <c r="A25" s="1" t="s">
        <v>11</v>
      </c>
    </row>
    <row r="26" spans="1:2" x14ac:dyDescent="0.3">
      <c r="A26" s="2" t="s">
        <v>13</v>
      </c>
      <c r="B26" s="2" t="s">
        <v>17</v>
      </c>
    </row>
    <row r="27" spans="1:2" x14ac:dyDescent="0.3">
      <c r="A27" t="s">
        <v>14</v>
      </c>
      <c r="B27" t="s">
        <v>22</v>
      </c>
    </row>
    <row r="28" spans="1:2" x14ac:dyDescent="0.3">
      <c r="A28" s="2" t="s">
        <v>15</v>
      </c>
      <c r="B28" s="2" t="s">
        <v>15</v>
      </c>
    </row>
    <row r="29" spans="1:2" x14ac:dyDescent="0.3">
      <c r="A29" s="2" t="s">
        <v>19</v>
      </c>
      <c r="B29" s="2" t="s">
        <v>13</v>
      </c>
    </row>
    <row r="30" spans="1:2" x14ac:dyDescent="0.3">
      <c r="A30" t="s">
        <v>21</v>
      </c>
      <c r="B30" t="s">
        <v>18</v>
      </c>
    </row>
    <row r="31" spans="1:2" x14ac:dyDescent="0.3">
      <c r="A31" s="2" t="s">
        <v>20</v>
      </c>
      <c r="B31" s="2" t="s">
        <v>15</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2A1EB5-3B8D-4C2C-9428-F5953F9D6F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Data</vt:lpstr>
      <vt:lpstr>FIG.5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Heron Hiel Silva Meira</dc:creator>
  <cp:lastModifiedBy>Louis Tabosa</cp:lastModifiedBy>
  <dcterms:created xsi:type="dcterms:W3CDTF">2025-01-20T22:45:39Z</dcterms:created>
  <dcterms:modified xsi:type="dcterms:W3CDTF">2026-03-09T18:01:00Z</dcterms:modified>
</cp:coreProperties>
</file>